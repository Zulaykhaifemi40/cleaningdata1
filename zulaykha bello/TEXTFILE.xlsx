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531e63cca23be/Documents/"/>
    </mc:Choice>
  </mc:AlternateContent>
  <xr:revisionPtr revIDLastSave="0" documentId="8_{8ADC44F8-1937-4482-97B8-FFDFA45B2B60}" xr6:coauthVersionLast="47" xr6:coauthVersionMax="47" xr10:uidLastSave="{00000000-0000-0000-0000-000000000000}"/>
  <bookViews>
    <workbookView xWindow="-110" yWindow="-110" windowWidth="19420" windowHeight="10300" xr2:uid="{7FA023AE-0036-481E-9827-7DB3E71CBFF0}"/>
  </bookViews>
  <sheets>
    <sheet name="TEXTFILE" sheetId="1" r:id="rId1"/>
  </sheets>
  <calcPr calcId="0"/>
</workbook>
</file>

<file path=xl/calcChain.xml><?xml version="1.0" encoding="utf-8"?>
<calcChain xmlns="http://schemas.openxmlformats.org/spreadsheetml/2006/main">
  <c r="C3" i="1" l="1"/>
  <c r="C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" i="1"/>
</calcChain>
</file>

<file path=xl/sharedStrings.xml><?xml version="1.0" encoding="utf-8"?>
<sst xmlns="http://schemas.openxmlformats.org/spreadsheetml/2006/main" count="24" uniqueCount="24">
  <si>
    <t>JUAREZ, JOSE ;41297;39000;ADMIN;INTERN</t>
  </si>
  <si>
    <t>ABRAHAM, JOHNNY ;03/30/2013;27000;ENGINEERING;TRAINEE</t>
  </si>
  <si>
    <t>BAKER, SARAH;04/30/2015;36000;SALES;SALES EXECUTIVE</t>
  </si>
  <si>
    <t>BALOTELLI, BILLY;11/15/2007;23900;ENGINEERING;INTERN</t>
  </si>
  <si>
    <t>BISHOP, TIANA ;37959;46500;ENGINEERING;MANAGER</t>
  </si>
  <si>
    <t>BOATENG, TERRYY;07/27/2009;50000;ACCOUNTS;COST ACCOUNTANT</t>
  </si>
  <si>
    <t>BOER, FRED ;12/23/2010;46000;MKTG;DESIGNER</t>
  </si>
  <si>
    <t>BARKER, BETTY;07/25/2007;43500;SALES;SALES EXECUTIVE</t>
  </si>
  <si>
    <t>BURSTEYN , TOM ;36834;21000;SALES;SALES TRAINEE</t>
  </si>
  <si>
    <t>BURSTEYN, TAMMY ;38238;38000;SALES;SALES EXECUTIVE</t>
  </si>
  <si>
    <t>BUSSER, BOBBY;37417;29950;ACCOUNTS;SENIOR ADMINISTRATOR</t>
  </si>
  <si>
    <t>CASCIEWICZ, KATHY; 12/15/2011;41000;SALES;SENIOR TECHNICIAN</t>
  </si>
  <si>
    <t>COLE, ASHLEY ;40483;54000;SALES;COST ACCOUNTANT</t>
  </si>
  <si>
    <t>COOKSON, CHARLES; 04/03/2012;63200;R &amp; D;VP</t>
  </si>
  <si>
    <t>CROSSLEY, ERIN ;04/23/2009;46000;ADMIN;TEAM LEADER</t>
  </si>
  <si>
    <t>DOE, JANE ;07/25/2015;21500;R &amp; D;TRAINEE</t>
  </si>
  <si>
    <t>DOE, JOHN  ; 06/05/2014;45600;ENGINEERING;INTERN</t>
  </si>
  <si>
    <t>DARNSTEIN, DANNY; 12/14/2011;52000;ENGINEERING;COST ACCOUNTANT</t>
  </si>
  <si>
    <t>FALLENGRANO, BILL ; 06/29/2001;56750;ENGINEERING;SENIOR ADMINISTRATOR</t>
  </si>
  <si>
    <t>employee name</t>
  </si>
  <si>
    <t>hired date</t>
  </si>
  <si>
    <t>salary</t>
  </si>
  <si>
    <t>department</t>
  </si>
  <si>
    <t>job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</si>
</sst>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4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FFB1A-FA88-4014-990D-116470A40D65}">
  <dimension ref="A1:F20"/>
  <sheetViews>
    <sheetView tabSelected="1" topLeftCell="B1" zoomScaleNormal="100" workbookViewId="0">
      <selection activeCell="G2" sqref="G2"/>
    </sheetView>
  </sheetViews>
  <sheetFormatPr defaultRowHeight="14.5" x14ac:dyDescent="0.35"/>
  <cols>
    <col min="1" max="1" width="68.54296875" hidden="1" customWidth="1"/>
    <col min="2" max="2" width="17.90625" bestFit="1" customWidth="1"/>
    <col min="3" max="3" width="14.81640625" style="1" customWidth="1"/>
    <col min="4" max="4" width="8.7265625" style="2"/>
    <col min="5" max="5" width="12.36328125" bestFit="1" customWidth="1"/>
    <col min="6" max="6" width="21.90625" bestFit="1" customWidth="1"/>
  </cols>
  <sheetData>
    <row r="1" spans="1:6" x14ac:dyDescent="0.35">
      <c r="B1" t="s">
        <v>19</v>
      </c>
      <c r="C1" s="1" t="s">
        <v>20</v>
      </c>
      <c r="D1" s="2" t="s">
        <v>21</v>
      </c>
      <c r="E1" t="s">
        <v>22</v>
      </c>
      <c r="F1" t="s">
        <v>23</v>
      </c>
    </row>
    <row r="2" spans="1:6" x14ac:dyDescent="0.35">
      <c r="A2" t="s">
        <v>0</v>
      </c>
      <c r="B2" t="str">
        <f>PROPER(LEFT(A2,FIND(";",A2)-1))</f>
        <v xml:space="preserve">Juarez, Jose </v>
      </c>
      <c r="C2" s="1" t="str">
        <f>LEFT(RIGHT(A2,LEN(A2)-FIND(";",A2)),FIND(";",RIGHT(A2,LEN(A2)-FIND(";",A2)))-1)</f>
        <v>41297</v>
      </c>
      <c r="D2" s="2" t="str">
        <f>LEFT(RIGHT(RIGHT(A2,LEN(A2)-FIND(";",A2)),LEN(RIGHT(A2,LEN(A2)-FIND(";",A2)))-FIND(";",RIGHT(A2,LEN(A2)-FIND(";",A2)))),FIND(";",RIGHT(RIGHT(A2,LEN(A2)-FIND(";",A2)),LEN(RIGHT(A2,LEN(A2)-FIND(";",A2)))-FIND(";",RIGHT(A2,LEN(A2)-FIND(";",A2)))))-1)</f>
        <v>39000</v>
      </c>
      <c r="E2" t="str">
        <f>LEFT(RIGHT(RIGHT(RIGHT(A2,LEN(A2)-FIND(";",A2)),LEN(RIGHT(A2,LEN(A2)-FIND(";",A2)))-FIND(";",RIGHT(A2,LEN(A2)-FIND(";",A2)))),LEN(RIGHT(RIGHT(A2,LEN(A2)-FIND(";",A2)),LEN(RIGHT(A2,LEN(A2)-FIND(";",A2)))-FIND(";",RIGHT(A2,LEN(A2)-FIND(";",A2)))))-FIND(";",RIGHT(RIGHT(A2,LEN(A2)-FIND(";",A2)),LEN(RIGHT(A2,LEN(A2)-FIND(";",A2)))-FIND(";",RIGHT(A2,LEN(A2)-FIND(";",A2)))))),FIND(";",RIGHT(RIGHT(RIGHT(A2,LEN(A2)-FIND(";",A2)),LEN(RIGHT(A2,LEN(A2)-FIND(";",A2)))-FIND(";",RIGHT(A2,LEN(A2)-FIND(";",A2)))),LEN(RIGHT(RIGHT(A2,LEN(A2)-FIND(";",A2)),LEN(RIGHT(A2,LEN(A2)-FIND(";",A2)))-FIND(";",RIGHT(A2,LEN(A2)-FIND(";",A2)))))-FIND(";",RIGHT(RIGHT(A2,LEN(A2)-FIND(";",A2)),LEN(RIGHT(A2,LEN(A2)-FIND(";",A2)))-FIND(";",RIGHT(A2,LEN(A2)-FIND(";",A2)))))))-1)</f>
        <v>ADMIN</v>
      </c>
      <c r="F2" t="str">
        <f>RIGHT(RIGHT(RIGHT(RIGHT(A2,LEN(A2)-FIND(";",A2)),LEN(RIGHT(A2,LEN(A2)-FIND(";",A2)))-FIND(";",RIGHT(A2,LEN(A2)-FIND(";",A2)))),LEN(RIGHT(RIGHT(A2,LEN(A2)-FIND(";",A2)),LEN(RIGHT(A2,LEN(A2)-FIND(";",A2)))-FIND(";",RIGHT(A2,LEN(A2)-FIND(";",A2)))))-FIND(";",RIGHT(RIGHT(A2,LEN(A2)-FIND(";",A2)),LEN(RIGHT(A2,LEN(A2)-FIND(";",A2)))-FIND(";",RIGHT(A2,LEN(A2)-FIND(";",A2)))))),LEN(RIGHT(RIGHT(RIGHT(A2,LEN(A2)-FIND(";",A2)),LEN(RIGHT(A2,LEN(A2)-FIND(";",A2)))-FIND(";",RIGHT(A2,LEN(A2)-FIND(";",A2)))),LEN(RIGHT(RIGHT(A2,LEN(A2)-FIND(";",A2)),LEN(RIGHT(A2,LEN(A2)-FIND(";",A2)))-FIND(";",RIGHT(A2,LEN(A2)-FIND(";",A2)))))-FIND(";",RIGHT(RIGHT(A2,LEN(A2)-FIND(";",A2)),LEN(RIGHT(A2,LEN(A2)-FIND(";",A2)))-FIND(";",RIGHT(A2,LEN(A2)-FIND(";",A2)))))))-FIND(";",RIGHT(RIGHT(RIGHT(A2,LEN(A2)-FIND(";",A2)),LEN(RIGHT(A2,LEN(A2)-FIND(";",A2)))-FIND(";",RIGHT(A2,LEN(A2)-FIND(";",A2)))),LEN(RIGHT(RIGHT(A2,LEN(A2)-FIND(";",A2)),LEN(RIGHT(A2,LEN(A2)-FIND(";",A2)))-FIND(";",RIGHT(A2,LEN(A2)-FIND(";",A2)))))-FIND(";",RIGHT(RIGHT(A2,LEN(A2)-FIND(";",A2)),LEN(RIGHT(A2,LEN(A2)-FIND(";",A2)))-FIND(";",RIGHT(A2,LEN(A2)-FIND(";",A2))))))))</f>
        <v>INTERN</v>
      </c>
    </row>
    <row r="3" spans="1:6" x14ac:dyDescent="0.35">
      <c r="A3" t="s">
        <v>1</v>
      </c>
      <c r="B3" t="str">
        <f>PROPER(LEFT(A3,FIND(";",A3)-1))</f>
        <v xml:space="preserve">Abraham, Johnny </v>
      </c>
      <c r="C3" s="1" t="str">
        <f>LEFT(RIGHT(A3,LEN(A3)-FIND(";",A3)),FIND(";",RIGHT(A3,LEN(A3)-FIND(";",A3)))-1)</f>
        <v>03/30/2013</v>
      </c>
      <c r="D3" s="2" t="str">
        <f>LEFT(RIGHT(RIGHT(A3,LEN(A3)-FIND(";",A3)),LEN(RIGHT(A3,LEN(A3)-FIND(";",A3)))-FIND(";",RIGHT(A3,LEN(A3)-FIND(";",A3)))),FIND(";",RIGHT(RIGHT(A3,LEN(A3)-FIND(";",A3)),LEN(RIGHT(A3,LEN(A3)-FIND(";",A3)))-FIND(";",RIGHT(A3,LEN(A3)-FIND(";",A3)))))-1)</f>
        <v>27000</v>
      </c>
      <c r="E3" t="str">
        <f>LEFT(RIGHT(RIGHT(RIGHT(A3,LEN(A3)-FIND(";",A3)),LEN(RIGHT(A3,LEN(A3)-FIND(";",A3)))-FIND(";",RIGHT(A3,LEN(A3)-FIND(";",A3)))),LEN(RIGHT(RIGHT(A3,LEN(A3)-FIND(";",A3)),LEN(RIGHT(A3,LEN(A3)-FIND(";",A3)))-FIND(";",RIGHT(A3,LEN(A3)-FIND(";",A3)))))-FIND(";",RIGHT(RIGHT(A3,LEN(A3)-FIND(";",A3)),LEN(RIGHT(A3,LEN(A3)-FIND(";",A3)))-FIND(";",RIGHT(A3,LEN(A3)-FIND(";",A3)))))),FIND(";",RIGHT(RIGHT(RIGHT(A3,LEN(A3)-FIND(";",A3)),LEN(RIGHT(A3,LEN(A3)-FIND(";",A3)))-FIND(";",RIGHT(A3,LEN(A3)-FIND(";",A3)))),LEN(RIGHT(RIGHT(A3,LEN(A3)-FIND(";",A3)),LEN(RIGHT(A3,LEN(A3)-FIND(";",A3)))-FIND(";",RIGHT(A3,LEN(A3)-FIND(";",A3)))))-FIND(";",RIGHT(RIGHT(A3,LEN(A3)-FIND(";",A3)),LEN(RIGHT(A3,LEN(A3)-FIND(";",A3)))-FIND(";",RIGHT(A3,LEN(A3)-FIND(";",A3)))))))-1)</f>
        <v>ENGINEERING</v>
      </c>
      <c r="F3" t="str">
        <f>RIGHT(RIGHT(RIGHT(RIGHT(A3,LEN(A3)-FIND(";",A3)),LEN(RIGHT(A3,LEN(A3)-FIND(";",A3)))-FIND(";",RIGHT(A3,LEN(A3)-FIND(";",A3)))),LEN(RIGHT(RIGHT(A3,LEN(A3)-FIND(";",A3)),LEN(RIGHT(A3,LEN(A3)-FIND(";",A3)))-FIND(";",RIGHT(A3,LEN(A3)-FIND(";",A3)))))-FIND(";",RIGHT(RIGHT(A3,LEN(A3)-FIND(";",A3)),LEN(RIGHT(A3,LEN(A3)-FIND(";",A3)))-FIND(";",RIGHT(A3,LEN(A3)-FIND(";",A3)))))),LEN(RIGHT(RIGHT(RIGHT(A3,LEN(A3)-FIND(";",A3)),LEN(RIGHT(A3,LEN(A3)-FIND(";",A3)))-FIND(";",RIGHT(A3,LEN(A3)-FIND(";",A3)))),LEN(RIGHT(RIGHT(A3,LEN(A3)-FIND(";",A3)),LEN(RIGHT(A3,LEN(A3)-FIND(";",A3)))-FIND(";",RIGHT(A3,LEN(A3)-FIND(";",A3)))))-FIND(";",RIGHT(RIGHT(A3,LEN(A3)-FIND(";",A3)),LEN(RIGHT(A3,LEN(A3)-FIND(";",A3)))-FIND(";",RIGHT(A3,LEN(A3)-FIND(";",A3)))))))-FIND(";",RIGHT(RIGHT(RIGHT(A3,LEN(A3)-FIND(";",A3)),LEN(RIGHT(A3,LEN(A3)-FIND(";",A3)))-FIND(";",RIGHT(A3,LEN(A3)-FIND(";",A3)))),LEN(RIGHT(RIGHT(A3,LEN(A3)-FIND(";",A3)),LEN(RIGHT(A3,LEN(A3)-FIND(";",A3)))-FIND(";",RIGHT(A3,LEN(A3)-FIND(";",A3)))))-FIND(";",RIGHT(RIGHT(A3,LEN(A3)-FIND(";",A3)),LEN(RIGHT(A3,LEN(A3)-FIND(";",A3)))-FIND(";",RIGHT(A3,LEN(A3)-FIND(";",A3))))))))</f>
        <v>TRAINEE</v>
      </c>
    </row>
    <row r="4" spans="1:6" x14ac:dyDescent="0.35">
      <c r="A4" t="s">
        <v>2</v>
      </c>
      <c r="B4" t="str">
        <f>PROPER(LEFT(A4,FIND(";",A4)-1))</f>
        <v>Baker, Sarah</v>
      </c>
      <c r="C4" s="1" t="str">
        <f>LEFT(RIGHT(A4,LEN(A4)-FIND(";",A4)),FIND(";",RIGHT(A4,LEN(A4)-FIND(";",A4)))-1)</f>
        <v>04/30/2015</v>
      </c>
      <c r="D4" s="2" t="str">
        <f>LEFT(RIGHT(RIGHT(A4,LEN(A4)-FIND(";",A4)),LEN(RIGHT(A4,LEN(A4)-FIND(";",A4)))-FIND(";",RIGHT(A4,LEN(A4)-FIND(";",A4)))),FIND(";",RIGHT(RIGHT(A4,LEN(A4)-FIND(";",A4)),LEN(RIGHT(A4,LEN(A4)-FIND(";",A4)))-FIND(";",RIGHT(A4,LEN(A4)-FIND(";",A4)))))-1)</f>
        <v>36000</v>
      </c>
      <c r="E4" t="str">
        <f>LEFT(RIGHT(RIGHT(RIGHT(A4,LEN(A4)-FIND(";",A4)),LEN(RIGHT(A4,LEN(A4)-FIND(";",A4)))-FIND(";",RIGHT(A4,LEN(A4)-FIND(";",A4)))),LEN(RIGHT(RIGHT(A4,LEN(A4)-FIND(";",A4)),LEN(RIGHT(A4,LEN(A4)-FIND(";",A4)))-FIND(";",RIGHT(A4,LEN(A4)-FIND(";",A4)))))-FIND(";",RIGHT(RIGHT(A4,LEN(A4)-FIND(";",A4)),LEN(RIGHT(A4,LEN(A4)-FIND(";",A4)))-FIND(";",RIGHT(A4,LEN(A4)-FIND(";",A4)))))),FIND(";",RIGHT(RIGHT(RIGHT(A4,LEN(A4)-FIND(";",A4)),LEN(RIGHT(A4,LEN(A4)-FIND(";",A4)))-FIND(";",RIGHT(A4,LEN(A4)-FIND(";",A4)))),LEN(RIGHT(RIGHT(A4,LEN(A4)-FIND(";",A4)),LEN(RIGHT(A4,LEN(A4)-FIND(";",A4)))-FIND(";",RIGHT(A4,LEN(A4)-FIND(";",A4)))))-FIND(";",RIGHT(RIGHT(A4,LEN(A4)-FIND(";",A4)),LEN(RIGHT(A4,LEN(A4)-FIND(";",A4)))-FIND(";",RIGHT(A4,LEN(A4)-FIND(";",A4)))))))-1)</f>
        <v>SALES</v>
      </c>
      <c r="F4" t="str">
        <f>RIGHT(RIGHT(RIGHT(RIGHT(A4,LEN(A4)-FIND(";",A4)),LEN(RIGHT(A4,LEN(A4)-FIND(";",A4)))-FIND(";",RIGHT(A4,LEN(A4)-FIND(";",A4)))),LEN(RIGHT(RIGHT(A4,LEN(A4)-FIND(";",A4)),LEN(RIGHT(A4,LEN(A4)-FIND(";",A4)))-FIND(";",RIGHT(A4,LEN(A4)-FIND(";",A4)))))-FIND(";",RIGHT(RIGHT(A4,LEN(A4)-FIND(";",A4)),LEN(RIGHT(A4,LEN(A4)-FIND(";",A4)))-FIND(";",RIGHT(A4,LEN(A4)-FIND(";",A4)))))),LEN(RIGHT(RIGHT(RIGHT(A4,LEN(A4)-FIND(";",A4)),LEN(RIGHT(A4,LEN(A4)-FIND(";",A4)))-FIND(";",RIGHT(A4,LEN(A4)-FIND(";",A4)))),LEN(RIGHT(RIGHT(A4,LEN(A4)-FIND(";",A4)),LEN(RIGHT(A4,LEN(A4)-FIND(";",A4)))-FIND(";",RIGHT(A4,LEN(A4)-FIND(";",A4)))))-FIND(";",RIGHT(RIGHT(A4,LEN(A4)-FIND(";",A4)),LEN(RIGHT(A4,LEN(A4)-FIND(";",A4)))-FIND(";",RIGHT(A4,LEN(A4)-FIND(";",A4)))))))-FIND(";",RIGHT(RIGHT(RIGHT(A4,LEN(A4)-FIND(";",A4)),LEN(RIGHT(A4,LEN(A4)-FIND(";",A4)))-FIND(";",RIGHT(A4,LEN(A4)-FIND(";",A4)))),LEN(RIGHT(RIGHT(A4,LEN(A4)-FIND(";",A4)),LEN(RIGHT(A4,LEN(A4)-FIND(";",A4)))-FIND(";",RIGHT(A4,LEN(A4)-FIND(";",A4)))))-FIND(";",RIGHT(RIGHT(A4,LEN(A4)-FIND(";",A4)),LEN(RIGHT(A4,LEN(A4)-FIND(";",A4)))-FIND(";",RIGHT(A4,LEN(A4)-FIND(";",A4))))))))</f>
        <v>SALES EXECUTIVE</v>
      </c>
    </row>
    <row r="5" spans="1:6" x14ac:dyDescent="0.35">
      <c r="A5" t="s">
        <v>3</v>
      </c>
      <c r="B5" t="str">
        <f>PROPER(LEFT(A5,FIND(";",A5)-1))</f>
        <v>Balotelli, Billy</v>
      </c>
      <c r="C5" s="1" t="str">
        <f>LEFT(RIGHT(A5,LEN(A5)-FIND(";",A5)),FIND(";",RIGHT(A5,LEN(A5)-FIND(";",A5)))-1)</f>
        <v>11/15/2007</v>
      </c>
      <c r="D5" s="2" t="str">
        <f>LEFT(RIGHT(RIGHT(A5,LEN(A5)-FIND(";",A5)),LEN(RIGHT(A5,LEN(A5)-FIND(";",A5)))-FIND(";",RIGHT(A5,LEN(A5)-FIND(";",A5)))),FIND(";",RIGHT(RIGHT(A5,LEN(A5)-FIND(";",A5)),LEN(RIGHT(A5,LEN(A5)-FIND(";",A5)))-FIND(";",RIGHT(A5,LEN(A5)-FIND(";",A5)))))-1)</f>
        <v>23900</v>
      </c>
      <c r="E5" t="str">
        <f>LEFT(RIGHT(RIGHT(RIGHT(A5,LEN(A5)-FIND(";",A5)),LEN(RIGHT(A5,LEN(A5)-FIND(";",A5)))-FIND(";",RIGHT(A5,LEN(A5)-FIND(";",A5)))),LEN(RIGHT(RIGHT(A5,LEN(A5)-FIND(";",A5)),LEN(RIGHT(A5,LEN(A5)-FIND(";",A5)))-FIND(";",RIGHT(A5,LEN(A5)-FIND(";",A5)))))-FIND(";",RIGHT(RIGHT(A5,LEN(A5)-FIND(";",A5)),LEN(RIGHT(A5,LEN(A5)-FIND(";",A5)))-FIND(";",RIGHT(A5,LEN(A5)-FIND(";",A5)))))),FIND(";",RIGHT(RIGHT(RIGHT(A5,LEN(A5)-FIND(";",A5)),LEN(RIGHT(A5,LEN(A5)-FIND(";",A5)))-FIND(";",RIGHT(A5,LEN(A5)-FIND(";",A5)))),LEN(RIGHT(RIGHT(A5,LEN(A5)-FIND(";",A5)),LEN(RIGHT(A5,LEN(A5)-FIND(";",A5)))-FIND(";",RIGHT(A5,LEN(A5)-FIND(";",A5)))))-FIND(";",RIGHT(RIGHT(A5,LEN(A5)-FIND(";",A5)),LEN(RIGHT(A5,LEN(A5)-FIND(";",A5)))-FIND(";",RIGHT(A5,LEN(A5)-FIND(";",A5)))))))-1)</f>
        <v>ENGINEERING</v>
      </c>
      <c r="F5" t="str">
        <f>RIGHT(RIGHT(RIGHT(RIGHT(A5,LEN(A5)-FIND(";",A5)),LEN(RIGHT(A5,LEN(A5)-FIND(";",A5)))-FIND(";",RIGHT(A5,LEN(A5)-FIND(";",A5)))),LEN(RIGHT(RIGHT(A5,LEN(A5)-FIND(";",A5)),LEN(RIGHT(A5,LEN(A5)-FIND(";",A5)))-FIND(";",RIGHT(A5,LEN(A5)-FIND(";",A5)))))-FIND(";",RIGHT(RIGHT(A5,LEN(A5)-FIND(";",A5)),LEN(RIGHT(A5,LEN(A5)-FIND(";",A5)))-FIND(";",RIGHT(A5,LEN(A5)-FIND(";",A5)))))),LEN(RIGHT(RIGHT(RIGHT(A5,LEN(A5)-FIND(";",A5)),LEN(RIGHT(A5,LEN(A5)-FIND(";",A5)))-FIND(";",RIGHT(A5,LEN(A5)-FIND(";",A5)))),LEN(RIGHT(RIGHT(A5,LEN(A5)-FIND(";",A5)),LEN(RIGHT(A5,LEN(A5)-FIND(";",A5)))-FIND(";",RIGHT(A5,LEN(A5)-FIND(";",A5)))))-FIND(";",RIGHT(RIGHT(A5,LEN(A5)-FIND(";",A5)),LEN(RIGHT(A5,LEN(A5)-FIND(";",A5)))-FIND(";",RIGHT(A5,LEN(A5)-FIND(";",A5)))))))-FIND(";",RIGHT(RIGHT(RIGHT(A5,LEN(A5)-FIND(";",A5)),LEN(RIGHT(A5,LEN(A5)-FIND(";",A5)))-FIND(";",RIGHT(A5,LEN(A5)-FIND(";",A5)))),LEN(RIGHT(RIGHT(A5,LEN(A5)-FIND(";",A5)),LEN(RIGHT(A5,LEN(A5)-FIND(";",A5)))-FIND(";",RIGHT(A5,LEN(A5)-FIND(";",A5)))))-FIND(";",RIGHT(RIGHT(A5,LEN(A5)-FIND(";",A5)),LEN(RIGHT(A5,LEN(A5)-FIND(";",A5)))-FIND(";",RIGHT(A5,LEN(A5)-FIND(";",A5))))))))</f>
        <v>INTERN</v>
      </c>
    </row>
    <row r="6" spans="1:6" x14ac:dyDescent="0.35">
      <c r="A6" t="s">
        <v>4</v>
      </c>
      <c r="B6" t="str">
        <f>PROPER(LEFT(A6,FIND(";",A6)-1))</f>
        <v xml:space="preserve">Bishop, Tiana </v>
      </c>
      <c r="C6" s="1" t="str">
        <f>LEFT(RIGHT(A6,LEN(A6)-FIND(";",A6)),FIND(";",RIGHT(A6,LEN(A6)-FIND(";",A6)))-1)</f>
        <v>37959</v>
      </c>
      <c r="D6" s="2" t="str">
        <f>LEFT(RIGHT(RIGHT(A6,LEN(A6)-FIND(";",A6)),LEN(RIGHT(A6,LEN(A6)-FIND(";",A6)))-FIND(";",RIGHT(A6,LEN(A6)-FIND(";",A6)))),FIND(";",RIGHT(RIGHT(A6,LEN(A6)-FIND(";",A6)),LEN(RIGHT(A6,LEN(A6)-FIND(";",A6)))-FIND(";",RIGHT(A6,LEN(A6)-FIND(";",A6)))))-1)</f>
        <v>46500</v>
      </c>
      <c r="E6" t="str">
        <f>LEFT(RIGHT(RIGHT(RIGHT(A6,LEN(A6)-FIND(";",A6)),LEN(RIGHT(A6,LEN(A6)-FIND(";",A6)))-FIND(";",RIGHT(A6,LEN(A6)-FIND(";",A6)))),LEN(RIGHT(RIGHT(A6,LEN(A6)-FIND(";",A6)),LEN(RIGHT(A6,LEN(A6)-FIND(";",A6)))-FIND(";",RIGHT(A6,LEN(A6)-FIND(";",A6)))))-FIND(";",RIGHT(RIGHT(A6,LEN(A6)-FIND(";",A6)),LEN(RIGHT(A6,LEN(A6)-FIND(";",A6)))-FIND(";",RIGHT(A6,LEN(A6)-FIND(";",A6)))))),FIND(";",RIGHT(RIGHT(RIGHT(A6,LEN(A6)-FIND(";",A6)),LEN(RIGHT(A6,LEN(A6)-FIND(";",A6)))-FIND(";",RIGHT(A6,LEN(A6)-FIND(";",A6)))),LEN(RIGHT(RIGHT(A6,LEN(A6)-FIND(";",A6)),LEN(RIGHT(A6,LEN(A6)-FIND(";",A6)))-FIND(";",RIGHT(A6,LEN(A6)-FIND(";",A6)))))-FIND(";",RIGHT(RIGHT(A6,LEN(A6)-FIND(";",A6)),LEN(RIGHT(A6,LEN(A6)-FIND(";",A6)))-FIND(";",RIGHT(A6,LEN(A6)-FIND(";",A6)))))))-1)</f>
        <v>ENGINEERING</v>
      </c>
      <c r="F6" t="str">
        <f>RIGHT(RIGHT(RIGHT(RIGHT(A6,LEN(A6)-FIND(";",A6)),LEN(RIGHT(A6,LEN(A6)-FIND(";",A6)))-FIND(";",RIGHT(A6,LEN(A6)-FIND(";",A6)))),LEN(RIGHT(RIGHT(A6,LEN(A6)-FIND(";",A6)),LEN(RIGHT(A6,LEN(A6)-FIND(";",A6)))-FIND(";",RIGHT(A6,LEN(A6)-FIND(";",A6)))))-FIND(";",RIGHT(RIGHT(A6,LEN(A6)-FIND(";",A6)),LEN(RIGHT(A6,LEN(A6)-FIND(";",A6)))-FIND(";",RIGHT(A6,LEN(A6)-FIND(";",A6)))))),LEN(RIGHT(RIGHT(RIGHT(A6,LEN(A6)-FIND(";",A6)),LEN(RIGHT(A6,LEN(A6)-FIND(";",A6)))-FIND(";",RIGHT(A6,LEN(A6)-FIND(";",A6)))),LEN(RIGHT(RIGHT(A6,LEN(A6)-FIND(";",A6)),LEN(RIGHT(A6,LEN(A6)-FIND(";",A6)))-FIND(";",RIGHT(A6,LEN(A6)-FIND(";",A6)))))-FIND(";",RIGHT(RIGHT(A6,LEN(A6)-FIND(";",A6)),LEN(RIGHT(A6,LEN(A6)-FIND(";",A6)))-FIND(";",RIGHT(A6,LEN(A6)-FIND(";",A6)))))))-FIND(";",RIGHT(RIGHT(RIGHT(A6,LEN(A6)-FIND(";",A6)),LEN(RIGHT(A6,LEN(A6)-FIND(";",A6)))-FIND(";",RIGHT(A6,LEN(A6)-FIND(";",A6)))),LEN(RIGHT(RIGHT(A6,LEN(A6)-FIND(";",A6)),LEN(RIGHT(A6,LEN(A6)-FIND(";",A6)))-FIND(";",RIGHT(A6,LEN(A6)-FIND(";",A6)))))-FIND(";",RIGHT(RIGHT(A6,LEN(A6)-FIND(";",A6)),LEN(RIGHT(A6,LEN(A6)-FIND(";",A6)))-FIND(";",RIGHT(A6,LEN(A6)-FIND(";",A6))))))))</f>
        <v>MANAGER</v>
      </c>
    </row>
    <row r="7" spans="1:6" x14ac:dyDescent="0.35">
      <c r="A7" t="s">
        <v>5</v>
      </c>
      <c r="B7" t="str">
        <f>PROPER(LEFT(A7,FIND(";",A7)-1))</f>
        <v>Boateng, Terryy</v>
      </c>
      <c r="C7" s="1" t="str">
        <f>LEFT(RIGHT(A7,LEN(A7)-FIND(";",A7)),FIND(";",RIGHT(A7,LEN(A7)-FIND(";",A7)))-1)</f>
        <v>07/27/2009</v>
      </c>
      <c r="D7" s="2" t="str">
        <f>LEFT(RIGHT(RIGHT(A7,LEN(A7)-FIND(";",A7)),LEN(RIGHT(A7,LEN(A7)-FIND(";",A7)))-FIND(";",RIGHT(A7,LEN(A7)-FIND(";",A7)))),FIND(";",RIGHT(RIGHT(A7,LEN(A7)-FIND(";",A7)),LEN(RIGHT(A7,LEN(A7)-FIND(";",A7)))-FIND(";",RIGHT(A7,LEN(A7)-FIND(";",A7)))))-1)</f>
        <v>50000</v>
      </c>
      <c r="E7" t="str">
        <f>LEFT(RIGHT(RIGHT(RIGHT(A7,LEN(A7)-FIND(";",A7)),LEN(RIGHT(A7,LEN(A7)-FIND(";",A7)))-FIND(";",RIGHT(A7,LEN(A7)-FIND(";",A7)))),LEN(RIGHT(RIGHT(A7,LEN(A7)-FIND(";",A7)),LEN(RIGHT(A7,LEN(A7)-FIND(";",A7)))-FIND(";",RIGHT(A7,LEN(A7)-FIND(";",A7)))))-FIND(";",RIGHT(RIGHT(A7,LEN(A7)-FIND(";",A7)),LEN(RIGHT(A7,LEN(A7)-FIND(";",A7)))-FIND(";",RIGHT(A7,LEN(A7)-FIND(";",A7)))))),FIND(";",RIGHT(RIGHT(RIGHT(A7,LEN(A7)-FIND(";",A7)),LEN(RIGHT(A7,LEN(A7)-FIND(";",A7)))-FIND(";",RIGHT(A7,LEN(A7)-FIND(";",A7)))),LEN(RIGHT(RIGHT(A7,LEN(A7)-FIND(";",A7)),LEN(RIGHT(A7,LEN(A7)-FIND(";",A7)))-FIND(";",RIGHT(A7,LEN(A7)-FIND(";",A7)))))-FIND(";",RIGHT(RIGHT(A7,LEN(A7)-FIND(";",A7)),LEN(RIGHT(A7,LEN(A7)-FIND(";",A7)))-FIND(";",RIGHT(A7,LEN(A7)-FIND(";",A7)))))))-1)</f>
        <v>ACCOUNTS</v>
      </c>
      <c r="F7" t="str">
        <f>RIGHT(RIGHT(RIGHT(RIGHT(A7,LEN(A7)-FIND(";",A7)),LEN(RIGHT(A7,LEN(A7)-FIND(";",A7)))-FIND(";",RIGHT(A7,LEN(A7)-FIND(";",A7)))),LEN(RIGHT(RIGHT(A7,LEN(A7)-FIND(";",A7)),LEN(RIGHT(A7,LEN(A7)-FIND(";",A7)))-FIND(";",RIGHT(A7,LEN(A7)-FIND(";",A7)))))-FIND(";",RIGHT(RIGHT(A7,LEN(A7)-FIND(";",A7)),LEN(RIGHT(A7,LEN(A7)-FIND(";",A7)))-FIND(";",RIGHT(A7,LEN(A7)-FIND(";",A7)))))),LEN(RIGHT(RIGHT(RIGHT(A7,LEN(A7)-FIND(";",A7)),LEN(RIGHT(A7,LEN(A7)-FIND(";",A7)))-FIND(";",RIGHT(A7,LEN(A7)-FIND(";",A7)))),LEN(RIGHT(RIGHT(A7,LEN(A7)-FIND(";",A7)),LEN(RIGHT(A7,LEN(A7)-FIND(";",A7)))-FIND(";",RIGHT(A7,LEN(A7)-FIND(";",A7)))))-FIND(";",RIGHT(RIGHT(A7,LEN(A7)-FIND(";",A7)),LEN(RIGHT(A7,LEN(A7)-FIND(";",A7)))-FIND(";",RIGHT(A7,LEN(A7)-FIND(";",A7)))))))-FIND(";",RIGHT(RIGHT(RIGHT(A7,LEN(A7)-FIND(";",A7)),LEN(RIGHT(A7,LEN(A7)-FIND(";",A7)))-FIND(";",RIGHT(A7,LEN(A7)-FIND(";",A7)))),LEN(RIGHT(RIGHT(A7,LEN(A7)-FIND(";",A7)),LEN(RIGHT(A7,LEN(A7)-FIND(";",A7)))-FIND(";",RIGHT(A7,LEN(A7)-FIND(";",A7)))))-FIND(";",RIGHT(RIGHT(A7,LEN(A7)-FIND(";",A7)),LEN(RIGHT(A7,LEN(A7)-FIND(";",A7)))-FIND(";",RIGHT(A7,LEN(A7)-FIND(";",A7))))))))</f>
        <v>COST ACCOUNTANT</v>
      </c>
    </row>
    <row r="8" spans="1:6" x14ac:dyDescent="0.35">
      <c r="A8" t="s">
        <v>6</v>
      </c>
      <c r="B8" t="str">
        <f>PROPER(LEFT(A8,FIND(";",A8)-1))</f>
        <v xml:space="preserve">Boer, Fred </v>
      </c>
      <c r="C8" s="1" t="str">
        <f>LEFT(RIGHT(A8,LEN(A8)-FIND(";",A8)),FIND(";",RIGHT(A8,LEN(A8)-FIND(";",A8)))-1)</f>
        <v>12/23/2010</v>
      </c>
      <c r="D8" s="2" t="str">
        <f>LEFT(RIGHT(RIGHT(A8,LEN(A8)-FIND(";",A8)),LEN(RIGHT(A8,LEN(A8)-FIND(";",A8)))-FIND(";",RIGHT(A8,LEN(A8)-FIND(";",A8)))),FIND(";",RIGHT(RIGHT(A8,LEN(A8)-FIND(";",A8)),LEN(RIGHT(A8,LEN(A8)-FIND(";",A8)))-FIND(";",RIGHT(A8,LEN(A8)-FIND(";",A8)))))-1)</f>
        <v>46000</v>
      </c>
      <c r="E8" t="str">
        <f>LEFT(RIGHT(RIGHT(RIGHT(A8,LEN(A8)-FIND(";",A8)),LEN(RIGHT(A8,LEN(A8)-FIND(";",A8)))-FIND(";",RIGHT(A8,LEN(A8)-FIND(";",A8)))),LEN(RIGHT(RIGHT(A8,LEN(A8)-FIND(";",A8)),LEN(RIGHT(A8,LEN(A8)-FIND(";",A8)))-FIND(";",RIGHT(A8,LEN(A8)-FIND(";",A8)))))-FIND(";",RIGHT(RIGHT(A8,LEN(A8)-FIND(";",A8)),LEN(RIGHT(A8,LEN(A8)-FIND(";",A8)))-FIND(";",RIGHT(A8,LEN(A8)-FIND(";",A8)))))),FIND(";",RIGHT(RIGHT(RIGHT(A8,LEN(A8)-FIND(";",A8)),LEN(RIGHT(A8,LEN(A8)-FIND(";",A8)))-FIND(";",RIGHT(A8,LEN(A8)-FIND(";",A8)))),LEN(RIGHT(RIGHT(A8,LEN(A8)-FIND(";",A8)),LEN(RIGHT(A8,LEN(A8)-FIND(";",A8)))-FIND(";",RIGHT(A8,LEN(A8)-FIND(";",A8)))))-FIND(";",RIGHT(RIGHT(A8,LEN(A8)-FIND(";",A8)),LEN(RIGHT(A8,LEN(A8)-FIND(";",A8)))-FIND(";",RIGHT(A8,LEN(A8)-FIND(";",A8)))))))-1)</f>
        <v>MKTG</v>
      </c>
      <c r="F8" t="str">
        <f>RIGHT(RIGHT(RIGHT(RIGHT(A8,LEN(A8)-FIND(";",A8)),LEN(RIGHT(A8,LEN(A8)-FIND(";",A8)))-FIND(";",RIGHT(A8,LEN(A8)-FIND(";",A8)))),LEN(RIGHT(RIGHT(A8,LEN(A8)-FIND(";",A8)),LEN(RIGHT(A8,LEN(A8)-FIND(";",A8)))-FIND(";",RIGHT(A8,LEN(A8)-FIND(";",A8)))))-FIND(";",RIGHT(RIGHT(A8,LEN(A8)-FIND(";",A8)),LEN(RIGHT(A8,LEN(A8)-FIND(";",A8)))-FIND(";",RIGHT(A8,LEN(A8)-FIND(";",A8)))))),LEN(RIGHT(RIGHT(RIGHT(A8,LEN(A8)-FIND(";",A8)),LEN(RIGHT(A8,LEN(A8)-FIND(";",A8)))-FIND(";",RIGHT(A8,LEN(A8)-FIND(";",A8)))),LEN(RIGHT(RIGHT(A8,LEN(A8)-FIND(";",A8)),LEN(RIGHT(A8,LEN(A8)-FIND(";",A8)))-FIND(";",RIGHT(A8,LEN(A8)-FIND(";",A8)))))-FIND(";",RIGHT(RIGHT(A8,LEN(A8)-FIND(";",A8)),LEN(RIGHT(A8,LEN(A8)-FIND(";",A8)))-FIND(";",RIGHT(A8,LEN(A8)-FIND(";",A8)))))))-FIND(";",RIGHT(RIGHT(RIGHT(A8,LEN(A8)-FIND(";",A8)),LEN(RIGHT(A8,LEN(A8)-FIND(";",A8)))-FIND(";",RIGHT(A8,LEN(A8)-FIND(";",A8)))),LEN(RIGHT(RIGHT(A8,LEN(A8)-FIND(";",A8)),LEN(RIGHT(A8,LEN(A8)-FIND(";",A8)))-FIND(";",RIGHT(A8,LEN(A8)-FIND(";",A8)))))-FIND(";",RIGHT(RIGHT(A8,LEN(A8)-FIND(";",A8)),LEN(RIGHT(A8,LEN(A8)-FIND(";",A8)))-FIND(";",RIGHT(A8,LEN(A8)-FIND(";",A8))))))))</f>
        <v>DESIGNER</v>
      </c>
    </row>
    <row r="9" spans="1:6" x14ac:dyDescent="0.35">
      <c r="A9" t="s">
        <v>7</v>
      </c>
      <c r="B9" t="str">
        <f>PROPER(LEFT(A9,FIND(";",A9)-1))</f>
        <v>Barker, Betty</v>
      </c>
      <c r="C9" s="1" t="str">
        <f>LEFT(RIGHT(A9,LEN(A9)-FIND(";",A9)),FIND(";",RIGHT(A9,LEN(A9)-FIND(";",A9)))-1)</f>
        <v>07/25/2007</v>
      </c>
      <c r="D9" s="2" t="str">
        <f>LEFT(RIGHT(RIGHT(A9,LEN(A9)-FIND(";",A9)),LEN(RIGHT(A9,LEN(A9)-FIND(";",A9)))-FIND(";",RIGHT(A9,LEN(A9)-FIND(";",A9)))),FIND(";",RIGHT(RIGHT(A9,LEN(A9)-FIND(";",A9)),LEN(RIGHT(A9,LEN(A9)-FIND(";",A9)))-FIND(";",RIGHT(A9,LEN(A9)-FIND(";",A9)))))-1)</f>
        <v>43500</v>
      </c>
      <c r="E9" t="str">
        <f>LEFT(RIGHT(RIGHT(RIGHT(A9,LEN(A9)-FIND(";",A9)),LEN(RIGHT(A9,LEN(A9)-FIND(";",A9)))-FIND(";",RIGHT(A9,LEN(A9)-FIND(";",A9)))),LEN(RIGHT(RIGHT(A9,LEN(A9)-FIND(";",A9)),LEN(RIGHT(A9,LEN(A9)-FIND(";",A9)))-FIND(";",RIGHT(A9,LEN(A9)-FIND(";",A9)))))-FIND(";",RIGHT(RIGHT(A9,LEN(A9)-FIND(";",A9)),LEN(RIGHT(A9,LEN(A9)-FIND(";",A9)))-FIND(";",RIGHT(A9,LEN(A9)-FIND(";",A9)))))),FIND(";",RIGHT(RIGHT(RIGHT(A9,LEN(A9)-FIND(";",A9)),LEN(RIGHT(A9,LEN(A9)-FIND(";",A9)))-FIND(";",RIGHT(A9,LEN(A9)-FIND(";",A9)))),LEN(RIGHT(RIGHT(A9,LEN(A9)-FIND(";",A9)),LEN(RIGHT(A9,LEN(A9)-FIND(";",A9)))-FIND(";",RIGHT(A9,LEN(A9)-FIND(";",A9)))))-FIND(";",RIGHT(RIGHT(A9,LEN(A9)-FIND(";",A9)),LEN(RIGHT(A9,LEN(A9)-FIND(";",A9)))-FIND(";",RIGHT(A9,LEN(A9)-FIND(";",A9)))))))-1)</f>
        <v>SALES</v>
      </c>
      <c r="F9" t="str">
        <f>RIGHT(RIGHT(RIGHT(RIGHT(A9,LEN(A9)-FIND(";",A9)),LEN(RIGHT(A9,LEN(A9)-FIND(";",A9)))-FIND(";",RIGHT(A9,LEN(A9)-FIND(";",A9)))),LEN(RIGHT(RIGHT(A9,LEN(A9)-FIND(";",A9)),LEN(RIGHT(A9,LEN(A9)-FIND(";",A9)))-FIND(";",RIGHT(A9,LEN(A9)-FIND(";",A9)))))-FIND(";",RIGHT(RIGHT(A9,LEN(A9)-FIND(";",A9)),LEN(RIGHT(A9,LEN(A9)-FIND(";",A9)))-FIND(";",RIGHT(A9,LEN(A9)-FIND(";",A9)))))),LEN(RIGHT(RIGHT(RIGHT(A9,LEN(A9)-FIND(";",A9)),LEN(RIGHT(A9,LEN(A9)-FIND(";",A9)))-FIND(";",RIGHT(A9,LEN(A9)-FIND(";",A9)))),LEN(RIGHT(RIGHT(A9,LEN(A9)-FIND(";",A9)),LEN(RIGHT(A9,LEN(A9)-FIND(";",A9)))-FIND(";",RIGHT(A9,LEN(A9)-FIND(";",A9)))))-FIND(";",RIGHT(RIGHT(A9,LEN(A9)-FIND(";",A9)),LEN(RIGHT(A9,LEN(A9)-FIND(";",A9)))-FIND(";",RIGHT(A9,LEN(A9)-FIND(";",A9)))))))-FIND(";",RIGHT(RIGHT(RIGHT(A9,LEN(A9)-FIND(";",A9)),LEN(RIGHT(A9,LEN(A9)-FIND(";",A9)))-FIND(";",RIGHT(A9,LEN(A9)-FIND(";",A9)))),LEN(RIGHT(RIGHT(A9,LEN(A9)-FIND(";",A9)),LEN(RIGHT(A9,LEN(A9)-FIND(";",A9)))-FIND(";",RIGHT(A9,LEN(A9)-FIND(";",A9)))))-FIND(";",RIGHT(RIGHT(A9,LEN(A9)-FIND(";",A9)),LEN(RIGHT(A9,LEN(A9)-FIND(";",A9)))-FIND(";",RIGHT(A9,LEN(A9)-FIND(";",A9))))))))</f>
        <v>SALES EXECUTIVE</v>
      </c>
    </row>
    <row r="10" spans="1:6" x14ac:dyDescent="0.35">
      <c r="A10" t="s">
        <v>8</v>
      </c>
      <c r="B10" t="str">
        <f>PROPER(LEFT(A10,FIND(";",A10)-1))</f>
        <v xml:space="preserve">Bursteyn , Tom </v>
      </c>
      <c r="C10" s="1" t="str">
        <f>LEFT(RIGHT(A10,LEN(A10)-FIND(";",A10)),FIND(";",RIGHT(A10,LEN(A10)-FIND(";",A10)))-1)</f>
        <v>36834</v>
      </c>
      <c r="D10" s="2" t="str">
        <f>LEFT(RIGHT(RIGHT(A10,LEN(A10)-FIND(";",A10)),LEN(RIGHT(A10,LEN(A10)-FIND(";",A10)))-FIND(";",RIGHT(A10,LEN(A10)-FIND(";",A10)))),FIND(";",RIGHT(RIGHT(A10,LEN(A10)-FIND(";",A10)),LEN(RIGHT(A10,LEN(A10)-FIND(";",A10)))-FIND(";",RIGHT(A10,LEN(A10)-FIND(";",A10)))))-1)</f>
        <v>21000</v>
      </c>
      <c r="E10" t="str">
        <f>LEFT(RIGHT(RIGHT(RIGHT(A10,LEN(A10)-FIND(";",A10)),LEN(RIGHT(A10,LEN(A10)-FIND(";",A10)))-FIND(";",RIGHT(A10,LEN(A10)-FIND(";",A10)))),LEN(RIGHT(RIGHT(A10,LEN(A10)-FIND(";",A10)),LEN(RIGHT(A10,LEN(A10)-FIND(";",A10)))-FIND(";",RIGHT(A10,LEN(A10)-FIND(";",A10)))))-FIND(";",RIGHT(RIGHT(A10,LEN(A10)-FIND(";",A10)),LEN(RIGHT(A10,LEN(A10)-FIND(";",A10)))-FIND(";",RIGHT(A10,LEN(A10)-FIND(";",A10)))))),FIND(";",RIGHT(RIGHT(RIGHT(A10,LEN(A10)-FIND(";",A10)),LEN(RIGHT(A10,LEN(A10)-FIND(";",A10)))-FIND(";",RIGHT(A10,LEN(A10)-FIND(";",A10)))),LEN(RIGHT(RIGHT(A10,LEN(A10)-FIND(";",A10)),LEN(RIGHT(A10,LEN(A10)-FIND(";",A10)))-FIND(";",RIGHT(A10,LEN(A10)-FIND(";",A10)))))-FIND(";",RIGHT(RIGHT(A10,LEN(A10)-FIND(";",A10)),LEN(RIGHT(A10,LEN(A10)-FIND(";",A10)))-FIND(";",RIGHT(A10,LEN(A10)-FIND(";",A10)))))))-1)</f>
        <v>SALES</v>
      </c>
      <c r="F10" t="str">
        <f>RIGHT(RIGHT(RIGHT(RIGHT(A10,LEN(A10)-FIND(";",A10)),LEN(RIGHT(A10,LEN(A10)-FIND(";",A10)))-FIND(";",RIGHT(A10,LEN(A10)-FIND(";",A10)))),LEN(RIGHT(RIGHT(A10,LEN(A10)-FIND(";",A10)),LEN(RIGHT(A10,LEN(A10)-FIND(";",A10)))-FIND(";",RIGHT(A10,LEN(A10)-FIND(";",A10)))))-FIND(";",RIGHT(RIGHT(A10,LEN(A10)-FIND(";",A10)),LEN(RIGHT(A10,LEN(A10)-FIND(";",A10)))-FIND(";",RIGHT(A10,LEN(A10)-FIND(";",A10)))))),LEN(RIGHT(RIGHT(RIGHT(A10,LEN(A10)-FIND(";",A10)),LEN(RIGHT(A10,LEN(A10)-FIND(";",A10)))-FIND(";",RIGHT(A10,LEN(A10)-FIND(";",A10)))),LEN(RIGHT(RIGHT(A10,LEN(A10)-FIND(";",A10)),LEN(RIGHT(A10,LEN(A10)-FIND(";",A10)))-FIND(";",RIGHT(A10,LEN(A10)-FIND(";",A10)))))-FIND(";",RIGHT(RIGHT(A10,LEN(A10)-FIND(";",A10)),LEN(RIGHT(A10,LEN(A10)-FIND(";",A10)))-FIND(";",RIGHT(A10,LEN(A10)-FIND(";",A10)))))))-FIND(";",RIGHT(RIGHT(RIGHT(A10,LEN(A10)-FIND(";",A10)),LEN(RIGHT(A10,LEN(A10)-FIND(";",A10)))-FIND(";",RIGHT(A10,LEN(A10)-FIND(";",A10)))),LEN(RIGHT(RIGHT(A10,LEN(A10)-FIND(";",A10)),LEN(RIGHT(A10,LEN(A10)-FIND(";",A10)))-FIND(";",RIGHT(A10,LEN(A10)-FIND(";",A10)))))-FIND(";",RIGHT(RIGHT(A10,LEN(A10)-FIND(";",A10)),LEN(RIGHT(A10,LEN(A10)-FIND(";",A10)))-FIND(";",RIGHT(A10,LEN(A10)-FIND(";",A10))))))))</f>
        <v>SALES TRAINEE</v>
      </c>
    </row>
    <row r="11" spans="1:6" x14ac:dyDescent="0.35">
      <c r="A11" t="s">
        <v>9</v>
      </c>
      <c r="B11" t="str">
        <f>PROPER(LEFT(A11,FIND(";",A11)-1))</f>
        <v xml:space="preserve">Bursteyn, Tammy </v>
      </c>
      <c r="C11" s="1" t="str">
        <f>LEFT(RIGHT(A11,LEN(A11)-FIND(";",A11)),FIND(";",RIGHT(A11,LEN(A11)-FIND(";",A11)))-1)</f>
        <v>38238</v>
      </c>
      <c r="D11" s="2" t="str">
        <f>LEFT(RIGHT(RIGHT(A11,LEN(A11)-FIND(";",A11)),LEN(RIGHT(A11,LEN(A11)-FIND(";",A11)))-FIND(";",RIGHT(A11,LEN(A11)-FIND(";",A11)))),FIND(";",RIGHT(RIGHT(A11,LEN(A11)-FIND(";",A11)),LEN(RIGHT(A11,LEN(A11)-FIND(";",A11)))-FIND(";",RIGHT(A11,LEN(A11)-FIND(";",A11)))))-1)</f>
        <v>38000</v>
      </c>
      <c r="E11" t="str">
        <f>LEFT(RIGHT(RIGHT(RIGHT(A11,LEN(A11)-FIND(";",A11)),LEN(RIGHT(A11,LEN(A11)-FIND(";",A11)))-FIND(";",RIGHT(A11,LEN(A11)-FIND(";",A11)))),LEN(RIGHT(RIGHT(A11,LEN(A11)-FIND(";",A11)),LEN(RIGHT(A11,LEN(A11)-FIND(";",A11)))-FIND(";",RIGHT(A11,LEN(A11)-FIND(";",A11)))))-FIND(";",RIGHT(RIGHT(A11,LEN(A11)-FIND(";",A11)),LEN(RIGHT(A11,LEN(A11)-FIND(";",A11)))-FIND(";",RIGHT(A11,LEN(A11)-FIND(";",A11)))))),FIND(";",RIGHT(RIGHT(RIGHT(A11,LEN(A11)-FIND(";",A11)),LEN(RIGHT(A11,LEN(A11)-FIND(";",A11)))-FIND(";",RIGHT(A11,LEN(A11)-FIND(";",A11)))),LEN(RIGHT(RIGHT(A11,LEN(A11)-FIND(";",A11)),LEN(RIGHT(A11,LEN(A11)-FIND(";",A11)))-FIND(";",RIGHT(A11,LEN(A11)-FIND(";",A11)))))-FIND(";",RIGHT(RIGHT(A11,LEN(A11)-FIND(";",A11)),LEN(RIGHT(A11,LEN(A11)-FIND(";",A11)))-FIND(";",RIGHT(A11,LEN(A11)-FIND(";",A11)))))))-1)</f>
        <v>SALES</v>
      </c>
      <c r="F11" t="str">
        <f>RIGHT(RIGHT(RIGHT(RIGHT(A11,LEN(A11)-FIND(";",A11)),LEN(RIGHT(A11,LEN(A11)-FIND(";",A11)))-FIND(";",RIGHT(A11,LEN(A11)-FIND(";",A11)))),LEN(RIGHT(RIGHT(A11,LEN(A11)-FIND(";",A11)),LEN(RIGHT(A11,LEN(A11)-FIND(";",A11)))-FIND(";",RIGHT(A11,LEN(A11)-FIND(";",A11)))))-FIND(";",RIGHT(RIGHT(A11,LEN(A11)-FIND(";",A11)),LEN(RIGHT(A11,LEN(A11)-FIND(";",A11)))-FIND(";",RIGHT(A11,LEN(A11)-FIND(";",A11)))))),LEN(RIGHT(RIGHT(RIGHT(A11,LEN(A11)-FIND(";",A11)),LEN(RIGHT(A11,LEN(A11)-FIND(";",A11)))-FIND(";",RIGHT(A11,LEN(A11)-FIND(";",A11)))),LEN(RIGHT(RIGHT(A11,LEN(A11)-FIND(";",A11)),LEN(RIGHT(A11,LEN(A11)-FIND(";",A11)))-FIND(";",RIGHT(A11,LEN(A11)-FIND(";",A11)))))-FIND(";",RIGHT(RIGHT(A11,LEN(A11)-FIND(";",A11)),LEN(RIGHT(A11,LEN(A11)-FIND(";",A11)))-FIND(";",RIGHT(A11,LEN(A11)-FIND(";",A11)))))))-FIND(";",RIGHT(RIGHT(RIGHT(A11,LEN(A11)-FIND(";",A11)),LEN(RIGHT(A11,LEN(A11)-FIND(";",A11)))-FIND(";",RIGHT(A11,LEN(A11)-FIND(";",A11)))),LEN(RIGHT(RIGHT(A11,LEN(A11)-FIND(";",A11)),LEN(RIGHT(A11,LEN(A11)-FIND(";",A11)))-FIND(";",RIGHT(A11,LEN(A11)-FIND(";",A11)))))-FIND(";",RIGHT(RIGHT(A11,LEN(A11)-FIND(";",A11)),LEN(RIGHT(A11,LEN(A11)-FIND(";",A11)))-FIND(";",RIGHT(A11,LEN(A11)-FIND(";",A11))))))))</f>
        <v>SALES EXECUTIVE</v>
      </c>
    </row>
    <row r="12" spans="1:6" x14ac:dyDescent="0.35">
      <c r="A12" t="s">
        <v>10</v>
      </c>
      <c r="B12" t="str">
        <f>PROPER(LEFT(A12,FIND(";",A12)-1))</f>
        <v>Busser, Bobby</v>
      </c>
      <c r="C12" s="1" t="str">
        <f>LEFT(RIGHT(A12,LEN(A12)-FIND(";",A12)),FIND(";",RIGHT(A12,LEN(A12)-FIND(";",A12)))-1)</f>
        <v>37417</v>
      </c>
      <c r="D12" s="2" t="str">
        <f>LEFT(RIGHT(RIGHT(A12,LEN(A12)-FIND(";",A12)),LEN(RIGHT(A12,LEN(A12)-FIND(";",A12)))-FIND(";",RIGHT(A12,LEN(A12)-FIND(";",A12)))),FIND(";",RIGHT(RIGHT(A12,LEN(A12)-FIND(";",A12)),LEN(RIGHT(A12,LEN(A12)-FIND(";",A12)))-FIND(";",RIGHT(A12,LEN(A12)-FIND(";",A12)))))-1)</f>
        <v>29950</v>
      </c>
      <c r="E12" t="str">
        <f>LEFT(RIGHT(RIGHT(RIGHT(A12,LEN(A12)-FIND(";",A12)),LEN(RIGHT(A12,LEN(A12)-FIND(";",A12)))-FIND(";",RIGHT(A12,LEN(A12)-FIND(";",A12)))),LEN(RIGHT(RIGHT(A12,LEN(A12)-FIND(";",A12)),LEN(RIGHT(A12,LEN(A12)-FIND(";",A12)))-FIND(";",RIGHT(A12,LEN(A12)-FIND(";",A12)))))-FIND(";",RIGHT(RIGHT(A12,LEN(A12)-FIND(";",A12)),LEN(RIGHT(A12,LEN(A12)-FIND(";",A12)))-FIND(";",RIGHT(A12,LEN(A12)-FIND(";",A12)))))),FIND(";",RIGHT(RIGHT(RIGHT(A12,LEN(A12)-FIND(";",A12)),LEN(RIGHT(A12,LEN(A12)-FIND(";",A12)))-FIND(";",RIGHT(A12,LEN(A12)-FIND(";",A12)))),LEN(RIGHT(RIGHT(A12,LEN(A12)-FIND(";",A12)),LEN(RIGHT(A12,LEN(A12)-FIND(";",A12)))-FIND(";",RIGHT(A12,LEN(A12)-FIND(";",A12)))))-FIND(";",RIGHT(RIGHT(A12,LEN(A12)-FIND(";",A12)),LEN(RIGHT(A12,LEN(A12)-FIND(";",A12)))-FIND(";",RIGHT(A12,LEN(A12)-FIND(";",A12)))))))-1)</f>
        <v>ACCOUNTS</v>
      </c>
      <c r="F12" t="str">
        <f>RIGHT(RIGHT(RIGHT(RIGHT(A12,LEN(A12)-FIND(";",A12)),LEN(RIGHT(A12,LEN(A12)-FIND(";",A12)))-FIND(";",RIGHT(A12,LEN(A12)-FIND(";",A12)))),LEN(RIGHT(RIGHT(A12,LEN(A12)-FIND(";",A12)),LEN(RIGHT(A12,LEN(A12)-FIND(";",A12)))-FIND(";",RIGHT(A12,LEN(A12)-FIND(";",A12)))))-FIND(";",RIGHT(RIGHT(A12,LEN(A12)-FIND(";",A12)),LEN(RIGHT(A12,LEN(A12)-FIND(";",A12)))-FIND(";",RIGHT(A12,LEN(A12)-FIND(";",A12)))))),LEN(RIGHT(RIGHT(RIGHT(A12,LEN(A12)-FIND(";",A12)),LEN(RIGHT(A12,LEN(A12)-FIND(";",A12)))-FIND(";",RIGHT(A12,LEN(A12)-FIND(";",A12)))),LEN(RIGHT(RIGHT(A12,LEN(A12)-FIND(";",A12)),LEN(RIGHT(A12,LEN(A12)-FIND(";",A12)))-FIND(";",RIGHT(A12,LEN(A12)-FIND(";",A12)))))-FIND(";",RIGHT(RIGHT(A12,LEN(A12)-FIND(";",A12)),LEN(RIGHT(A12,LEN(A12)-FIND(";",A12)))-FIND(";",RIGHT(A12,LEN(A12)-FIND(";",A12)))))))-FIND(";",RIGHT(RIGHT(RIGHT(A12,LEN(A12)-FIND(";",A12)),LEN(RIGHT(A12,LEN(A12)-FIND(";",A12)))-FIND(";",RIGHT(A12,LEN(A12)-FIND(";",A12)))),LEN(RIGHT(RIGHT(A12,LEN(A12)-FIND(";",A12)),LEN(RIGHT(A12,LEN(A12)-FIND(";",A12)))-FIND(";",RIGHT(A12,LEN(A12)-FIND(";",A12)))))-FIND(";",RIGHT(RIGHT(A12,LEN(A12)-FIND(";",A12)),LEN(RIGHT(A12,LEN(A12)-FIND(";",A12)))-FIND(";",RIGHT(A12,LEN(A12)-FIND(";",A12))))))))</f>
        <v>SENIOR ADMINISTRATOR</v>
      </c>
    </row>
    <row r="13" spans="1:6" x14ac:dyDescent="0.35">
      <c r="A13" t="s">
        <v>11</v>
      </c>
      <c r="B13" t="str">
        <f>PROPER(LEFT(A13,FIND(";",A13)-1))</f>
        <v>Casciewicz, Kathy</v>
      </c>
      <c r="C13" s="1" t="str">
        <f>LEFT(RIGHT(A13,LEN(A13)-FIND(";",A13)),FIND(";",RIGHT(A13,LEN(A13)-FIND(";",A13)))-1)</f>
        <v xml:space="preserve"> 12/15/2011</v>
      </c>
      <c r="D13" s="2" t="str">
        <f>LEFT(RIGHT(RIGHT(A13,LEN(A13)-FIND(";",A13)),LEN(RIGHT(A13,LEN(A13)-FIND(";",A13)))-FIND(";",RIGHT(A13,LEN(A13)-FIND(";",A13)))),FIND(";",RIGHT(RIGHT(A13,LEN(A13)-FIND(";",A13)),LEN(RIGHT(A13,LEN(A13)-FIND(";",A13)))-FIND(";",RIGHT(A13,LEN(A13)-FIND(";",A13)))))-1)</f>
        <v>41000</v>
      </c>
      <c r="E13" t="str">
        <f>LEFT(RIGHT(RIGHT(RIGHT(A13,LEN(A13)-FIND(";",A13)),LEN(RIGHT(A13,LEN(A13)-FIND(";",A13)))-FIND(";",RIGHT(A13,LEN(A13)-FIND(";",A13)))),LEN(RIGHT(RIGHT(A13,LEN(A13)-FIND(";",A13)),LEN(RIGHT(A13,LEN(A13)-FIND(";",A13)))-FIND(";",RIGHT(A13,LEN(A13)-FIND(";",A13)))))-FIND(";",RIGHT(RIGHT(A13,LEN(A13)-FIND(";",A13)),LEN(RIGHT(A13,LEN(A13)-FIND(";",A13)))-FIND(";",RIGHT(A13,LEN(A13)-FIND(";",A13)))))),FIND(";",RIGHT(RIGHT(RIGHT(A13,LEN(A13)-FIND(";",A13)),LEN(RIGHT(A13,LEN(A13)-FIND(";",A13)))-FIND(";",RIGHT(A13,LEN(A13)-FIND(";",A13)))),LEN(RIGHT(RIGHT(A13,LEN(A13)-FIND(";",A13)),LEN(RIGHT(A13,LEN(A13)-FIND(";",A13)))-FIND(";",RIGHT(A13,LEN(A13)-FIND(";",A13)))))-FIND(";",RIGHT(RIGHT(A13,LEN(A13)-FIND(";",A13)),LEN(RIGHT(A13,LEN(A13)-FIND(";",A13)))-FIND(";",RIGHT(A13,LEN(A13)-FIND(";",A13)))))))-1)</f>
        <v>SALES</v>
      </c>
      <c r="F13" t="str">
        <f>RIGHT(RIGHT(RIGHT(RIGHT(A13,LEN(A13)-FIND(";",A13)),LEN(RIGHT(A13,LEN(A13)-FIND(";",A13)))-FIND(";",RIGHT(A13,LEN(A13)-FIND(";",A13)))),LEN(RIGHT(RIGHT(A13,LEN(A13)-FIND(";",A13)),LEN(RIGHT(A13,LEN(A13)-FIND(";",A13)))-FIND(";",RIGHT(A13,LEN(A13)-FIND(";",A13)))))-FIND(";",RIGHT(RIGHT(A13,LEN(A13)-FIND(";",A13)),LEN(RIGHT(A13,LEN(A13)-FIND(";",A13)))-FIND(";",RIGHT(A13,LEN(A13)-FIND(";",A13)))))),LEN(RIGHT(RIGHT(RIGHT(A13,LEN(A13)-FIND(";",A13)),LEN(RIGHT(A13,LEN(A13)-FIND(";",A13)))-FIND(";",RIGHT(A13,LEN(A13)-FIND(";",A13)))),LEN(RIGHT(RIGHT(A13,LEN(A13)-FIND(";",A13)),LEN(RIGHT(A13,LEN(A13)-FIND(";",A13)))-FIND(";",RIGHT(A13,LEN(A13)-FIND(";",A13)))))-FIND(";",RIGHT(RIGHT(A13,LEN(A13)-FIND(";",A13)),LEN(RIGHT(A13,LEN(A13)-FIND(";",A13)))-FIND(";",RIGHT(A13,LEN(A13)-FIND(";",A13)))))))-FIND(";",RIGHT(RIGHT(RIGHT(A13,LEN(A13)-FIND(";",A13)),LEN(RIGHT(A13,LEN(A13)-FIND(";",A13)))-FIND(";",RIGHT(A13,LEN(A13)-FIND(";",A13)))),LEN(RIGHT(RIGHT(A13,LEN(A13)-FIND(";",A13)),LEN(RIGHT(A13,LEN(A13)-FIND(";",A13)))-FIND(";",RIGHT(A13,LEN(A13)-FIND(";",A13)))))-FIND(";",RIGHT(RIGHT(A13,LEN(A13)-FIND(";",A13)),LEN(RIGHT(A13,LEN(A13)-FIND(";",A13)))-FIND(";",RIGHT(A13,LEN(A13)-FIND(";",A13))))))))</f>
        <v>SENIOR TECHNICIAN</v>
      </c>
    </row>
    <row r="14" spans="1:6" x14ac:dyDescent="0.35">
      <c r="A14" t="s">
        <v>12</v>
      </c>
      <c r="B14" t="str">
        <f>PROPER(LEFT(A14,FIND(";",A14)-1))</f>
        <v xml:space="preserve">Cole, Ashley </v>
      </c>
      <c r="C14" s="1" t="str">
        <f>LEFT(RIGHT(A14,LEN(A14)-FIND(";",A14)),FIND(";",RIGHT(A14,LEN(A14)-FIND(";",A14)))-1)</f>
        <v>40483</v>
      </c>
      <c r="D14" s="2" t="str">
        <f>LEFT(RIGHT(RIGHT(A14,LEN(A14)-FIND(";",A14)),LEN(RIGHT(A14,LEN(A14)-FIND(";",A14)))-FIND(";",RIGHT(A14,LEN(A14)-FIND(";",A14)))),FIND(";",RIGHT(RIGHT(A14,LEN(A14)-FIND(";",A14)),LEN(RIGHT(A14,LEN(A14)-FIND(";",A14)))-FIND(";",RIGHT(A14,LEN(A14)-FIND(";",A14)))))-1)</f>
        <v>54000</v>
      </c>
      <c r="E14" t="str">
        <f>LEFT(RIGHT(RIGHT(RIGHT(A14,LEN(A14)-FIND(";",A14)),LEN(RIGHT(A14,LEN(A14)-FIND(";",A14)))-FIND(";",RIGHT(A14,LEN(A14)-FIND(";",A14)))),LEN(RIGHT(RIGHT(A14,LEN(A14)-FIND(";",A14)),LEN(RIGHT(A14,LEN(A14)-FIND(";",A14)))-FIND(";",RIGHT(A14,LEN(A14)-FIND(";",A14)))))-FIND(";",RIGHT(RIGHT(A14,LEN(A14)-FIND(";",A14)),LEN(RIGHT(A14,LEN(A14)-FIND(";",A14)))-FIND(";",RIGHT(A14,LEN(A14)-FIND(";",A14)))))),FIND(";",RIGHT(RIGHT(RIGHT(A14,LEN(A14)-FIND(";",A14)),LEN(RIGHT(A14,LEN(A14)-FIND(";",A14)))-FIND(";",RIGHT(A14,LEN(A14)-FIND(";",A14)))),LEN(RIGHT(RIGHT(A14,LEN(A14)-FIND(";",A14)),LEN(RIGHT(A14,LEN(A14)-FIND(";",A14)))-FIND(";",RIGHT(A14,LEN(A14)-FIND(";",A14)))))-FIND(";",RIGHT(RIGHT(A14,LEN(A14)-FIND(";",A14)),LEN(RIGHT(A14,LEN(A14)-FIND(";",A14)))-FIND(";",RIGHT(A14,LEN(A14)-FIND(";",A14)))))))-1)</f>
        <v>SALES</v>
      </c>
      <c r="F14" t="str">
        <f>RIGHT(RIGHT(RIGHT(RIGHT(A14,LEN(A14)-FIND(";",A14)),LEN(RIGHT(A14,LEN(A14)-FIND(";",A14)))-FIND(";",RIGHT(A14,LEN(A14)-FIND(";",A14)))),LEN(RIGHT(RIGHT(A14,LEN(A14)-FIND(";",A14)),LEN(RIGHT(A14,LEN(A14)-FIND(";",A14)))-FIND(";",RIGHT(A14,LEN(A14)-FIND(";",A14)))))-FIND(";",RIGHT(RIGHT(A14,LEN(A14)-FIND(";",A14)),LEN(RIGHT(A14,LEN(A14)-FIND(";",A14)))-FIND(";",RIGHT(A14,LEN(A14)-FIND(";",A14)))))),LEN(RIGHT(RIGHT(RIGHT(A14,LEN(A14)-FIND(";",A14)),LEN(RIGHT(A14,LEN(A14)-FIND(";",A14)))-FIND(";",RIGHT(A14,LEN(A14)-FIND(";",A14)))),LEN(RIGHT(RIGHT(A14,LEN(A14)-FIND(";",A14)),LEN(RIGHT(A14,LEN(A14)-FIND(";",A14)))-FIND(";",RIGHT(A14,LEN(A14)-FIND(";",A14)))))-FIND(";",RIGHT(RIGHT(A14,LEN(A14)-FIND(";",A14)),LEN(RIGHT(A14,LEN(A14)-FIND(";",A14)))-FIND(";",RIGHT(A14,LEN(A14)-FIND(";",A14)))))))-FIND(";",RIGHT(RIGHT(RIGHT(A14,LEN(A14)-FIND(";",A14)),LEN(RIGHT(A14,LEN(A14)-FIND(";",A14)))-FIND(";",RIGHT(A14,LEN(A14)-FIND(";",A14)))),LEN(RIGHT(RIGHT(A14,LEN(A14)-FIND(";",A14)),LEN(RIGHT(A14,LEN(A14)-FIND(";",A14)))-FIND(";",RIGHT(A14,LEN(A14)-FIND(";",A14)))))-FIND(";",RIGHT(RIGHT(A14,LEN(A14)-FIND(";",A14)),LEN(RIGHT(A14,LEN(A14)-FIND(";",A14)))-FIND(";",RIGHT(A14,LEN(A14)-FIND(";",A14))))))))</f>
        <v>COST ACCOUNTANT</v>
      </c>
    </row>
    <row r="15" spans="1:6" x14ac:dyDescent="0.35">
      <c r="A15" t="s">
        <v>13</v>
      </c>
      <c r="B15" t="str">
        <f>PROPER(LEFT(A15,FIND(";",A15)-1))</f>
        <v>Cookson, Charles</v>
      </c>
      <c r="C15" s="1" t="str">
        <f>LEFT(RIGHT(A15,LEN(A15)-FIND(";",A15)),FIND(";",RIGHT(A15,LEN(A15)-FIND(";",A15)))-1)</f>
        <v xml:space="preserve"> 04/03/2012</v>
      </c>
      <c r="D15" s="2" t="str">
        <f>LEFT(RIGHT(RIGHT(A15,LEN(A15)-FIND(";",A15)),LEN(RIGHT(A15,LEN(A15)-FIND(";",A15)))-FIND(";",RIGHT(A15,LEN(A15)-FIND(";",A15)))),FIND(";",RIGHT(RIGHT(A15,LEN(A15)-FIND(";",A15)),LEN(RIGHT(A15,LEN(A15)-FIND(";",A15)))-FIND(";",RIGHT(A15,LEN(A15)-FIND(";",A15)))))-1)</f>
        <v>63200</v>
      </c>
      <c r="E15" t="str">
        <f>LEFT(RIGHT(RIGHT(RIGHT(A15,LEN(A15)-FIND(";",A15)),LEN(RIGHT(A15,LEN(A15)-FIND(";",A15)))-FIND(";",RIGHT(A15,LEN(A15)-FIND(";",A15)))),LEN(RIGHT(RIGHT(A15,LEN(A15)-FIND(";",A15)),LEN(RIGHT(A15,LEN(A15)-FIND(";",A15)))-FIND(";",RIGHT(A15,LEN(A15)-FIND(";",A15)))))-FIND(";",RIGHT(RIGHT(A15,LEN(A15)-FIND(";",A15)),LEN(RIGHT(A15,LEN(A15)-FIND(";",A15)))-FIND(";",RIGHT(A15,LEN(A15)-FIND(";",A15)))))),FIND(";",RIGHT(RIGHT(RIGHT(A15,LEN(A15)-FIND(";",A15)),LEN(RIGHT(A15,LEN(A15)-FIND(";",A15)))-FIND(";",RIGHT(A15,LEN(A15)-FIND(";",A15)))),LEN(RIGHT(RIGHT(A15,LEN(A15)-FIND(";",A15)),LEN(RIGHT(A15,LEN(A15)-FIND(";",A15)))-FIND(";",RIGHT(A15,LEN(A15)-FIND(";",A15)))))-FIND(";",RIGHT(RIGHT(A15,LEN(A15)-FIND(";",A15)),LEN(RIGHT(A15,LEN(A15)-FIND(";",A15)))-FIND(";",RIGHT(A15,LEN(A15)-FIND(";",A15)))))))-1)</f>
        <v>R &amp; D</v>
      </c>
      <c r="F15" t="str">
        <f>RIGHT(RIGHT(RIGHT(RIGHT(A15,LEN(A15)-FIND(";",A15)),LEN(RIGHT(A15,LEN(A15)-FIND(";",A15)))-FIND(";",RIGHT(A15,LEN(A15)-FIND(";",A15)))),LEN(RIGHT(RIGHT(A15,LEN(A15)-FIND(";",A15)),LEN(RIGHT(A15,LEN(A15)-FIND(";",A15)))-FIND(";",RIGHT(A15,LEN(A15)-FIND(";",A15)))))-FIND(";",RIGHT(RIGHT(A15,LEN(A15)-FIND(";",A15)),LEN(RIGHT(A15,LEN(A15)-FIND(";",A15)))-FIND(";",RIGHT(A15,LEN(A15)-FIND(";",A15)))))),LEN(RIGHT(RIGHT(RIGHT(A15,LEN(A15)-FIND(";",A15)),LEN(RIGHT(A15,LEN(A15)-FIND(";",A15)))-FIND(";",RIGHT(A15,LEN(A15)-FIND(";",A15)))),LEN(RIGHT(RIGHT(A15,LEN(A15)-FIND(";",A15)),LEN(RIGHT(A15,LEN(A15)-FIND(";",A15)))-FIND(";",RIGHT(A15,LEN(A15)-FIND(";",A15)))))-FIND(";",RIGHT(RIGHT(A15,LEN(A15)-FIND(";",A15)),LEN(RIGHT(A15,LEN(A15)-FIND(";",A15)))-FIND(";",RIGHT(A15,LEN(A15)-FIND(";",A15)))))))-FIND(";",RIGHT(RIGHT(RIGHT(A15,LEN(A15)-FIND(";",A15)),LEN(RIGHT(A15,LEN(A15)-FIND(";",A15)))-FIND(";",RIGHT(A15,LEN(A15)-FIND(";",A15)))),LEN(RIGHT(RIGHT(A15,LEN(A15)-FIND(";",A15)),LEN(RIGHT(A15,LEN(A15)-FIND(";",A15)))-FIND(";",RIGHT(A15,LEN(A15)-FIND(";",A15)))))-FIND(";",RIGHT(RIGHT(A15,LEN(A15)-FIND(";",A15)),LEN(RIGHT(A15,LEN(A15)-FIND(";",A15)))-FIND(";",RIGHT(A15,LEN(A15)-FIND(";",A15))))))))</f>
        <v>VP</v>
      </c>
    </row>
    <row r="16" spans="1:6" x14ac:dyDescent="0.35">
      <c r="A16" t="s">
        <v>14</v>
      </c>
      <c r="B16" t="str">
        <f>PROPER(LEFT(A16,FIND(";",A16)-1))</f>
        <v xml:space="preserve">Crossley, Erin </v>
      </c>
      <c r="C16" s="1" t="str">
        <f>LEFT(RIGHT(A16,LEN(A16)-FIND(";",A16)),FIND(";",RIGHT(A16,LEN(A16)-FIND(";",A16)))-1)</f>
        <v>04/23/2009</v>
      </c>
      <c r="D16" s="2" t="str">
        <f>LEFT(RIGHT(RIGHT(A16,LEN(A16)-FIND(";",A16)),LEN(RIGHT(A16,LEN(A16)-FIND(";",A16)))-FIND(";",RIGHT(A16,LEN(A16)-FIND(";",A16)))),FIND(";",RIGHT(RIGHT(A16,LEN(A16)-FIND(";",A16)),LEN(RIGHT(A16,LEN(A16)-FIND(";",A16)))-FIND(";",RIGHT(A16,LEN(A16)-FIND(";",A16)))))-1)</f>
        <v>46000</v>
      </c>
      <c r="E16" t="str">
        <f>LEFT(RIGHT(RIGHT(RIGHT(A16,LEN(A16)-FIND(";",A16)),LEN(RIGHT(A16,LEN(A16)-FIND(";",A16)))-FIND(";",RIGHT(A16,LEN(A16)-FIND(";",A16)))),LEN(RIGHT(RIGHT(A16,LEN(A16)-FIND(";",A16)),LEN(RIGHT(A16,LEN(A16)-FIND(";",A16)))-FIND(";",RIGHT(A16,LEN(A16)-FIND(";",A16)))))-FIND(";",RIGHT(RIGHT(A16,LEN(A16)-FIND(";",A16)),LEN(RIGHT(A16,LEN(A16)-FIND(";",A16)))-FIND(";",RIGHT(A16,LEN(A16)-FIND(";",A16)))))),FIND(";",RIGHT(RIGHT(RIGHT(A16,LEN(A16)-FIND(";",A16)),LEN(RIGHT(A16,LEN(A16)-FIND(";",A16)))-FIND(";",RIGHT(A16,LEN(A16)-FIND(";",A16)))),LEN(RIGHT(RIGHT(A16,LEN(A16)-FIND(";",A16)),LEN(RIGHT(A16,LEN(A16)-FIND(";",A16)))-FIND(";",RIGHT(A16,LEN(A16)-FIND(";",A16)))))-FIND(";",RIGHT(RIGHT(A16,LEN(A16)-FIND(";",A16)),LEN(RIGHT(A16,LEN(A16)-FIND(";",A16)))-FIND(";",RIGHT(A16,LEN(A16)-FIND(";",A16)))))))-1)</f>
        <v>ADMIN</v>
      </c>
      <c r="F16" t="str">
        <f>RIGHT(RIGHT(RIGHT(RIGHT(A16,LEN(A16)-FIND(";",A16)),LEN(RIGHT(A16,LEN(A16)-FIND(";",A16)))-FIND(";",RIGHT(A16,LEN(A16)-FIND(";",A16)))),LEN(RIGHT(RIGHT(A16,LEN(A16)-FIND(";",A16)),LEN(RIGHT(A16,LEN(A16)-FIND(";",A16)))-FIND(";",RIGHT(A16,LEN(A16)-FIND(";",A16)))))-FIND(";",RIGHT(RIGHT(A16,LEN(A16)-FIND(";",A16)),LEN(RIGHT(A16,LEN(A16)-FIND(";",A16)))-FIND(";",RIGHT(A16,LEN(A16)-FIND(";",A16)))))),LEN(RIGHT(RIGHT(RIGHT(A16,LEN(A16)-FIND(";",A16)),LEN(RIGHT(A16,LEN(A16)-FIND(";",A16)))-FIND(";",RIGHT(A16,LEN(A16)-FIND(";",A16)))),LEN(RIGHT(RIGHT(A16,LEN(A16)-FIND(";",A16)),LEN(RIGHT(A16,LEN(A16)-FIND(";",A16)))-FIND(";",RIGHT(A16,LEN(A16)-FIND(";",A16)))))-FIND(";",RIGHT(RIGHT(A16,LEN(A16)-FIND(";",A16)),LEN(RIGHT(A16,LEN(A16)-FIND(";",A16)))-FIND(";",RIGHT(A16,LEN(A16)-FIND(";",A16)))))))-FIND(";",RIGHT(RIGHT(RIGHT(A16,LEN(A16)-FIND(";",A16)),LEN(RIGHT(A16,LEN(A16)-FIND(";",A16)))-FIND(";",RIGHT(A16,LEN(A16)-FIND(";",A16)))),LEN(RIGHT(RIGHT(A16,LEN(A16)-FIND(";",A16)),LEN(RIGHT(A16,LEN(A16)-FIND(";",A16)))-FIND(";",RIGHT(A16,LEN(A16)-FIND(";",A16)))))-FIND(";",RIGHT(RIGHT(A16,LEN(A16)-FIND(";",A16)),LEN(RIGHT(A16,LEN(A16)-FIND(";",A16)))-FIND(";",RIGHT(A16,LEN(A16)-FIND(";",A16))))))))</f>
        <v>TEAM LEADER</v>
      </c>
    </row>
    <row r="17" spans="1:6" x14ac:dyDescent="0.35">
      <c r="A17" t="s">
        <v>15</v>
      </c>
      <c r="B17" t="str">
        <f>PROPER(LEFT(A17,FIND(";",A17)-1))</f>
        <v xml:space="preserve">Doe, Jane </v>
      </c>
      <c r="C17" s="1" t="str">
        <f>LEFT(RIGHT(A17,LEN(A17)-FIND(";",A17)),FIND(";",RIGHT(A17,LEN(A17)-FIND(";",A17)))-1)</f>
        <v>07/25/2015</v>
      </c>
      <c r="D17" s="2" t="str">
        <f>LEFT(RIGHT(RIGHT(A17,LEN(A17)-FIND(";",A17)),LEN(RIGHT(A17,LEN(A17)-FIND(";",A17)))-FIND(";",RIGHT(A17,LEN(A17)-FIND(";",A17)))),FIND(";",RIGHT(RIGHT(A17,LEN(A17)-FIND(";",A17)),LEN(RIGHT(A17,LEN(A17)-FIND(";",A17)))-FIND(";",RIGHT(A17,LEN(A17)-FIND(";",A17)))))-1)</f>
        <v>21500</v>
      </c>
      <c r="E17" t="str">
        <f>LEFT(RIGHT(RIGHT(RIGHT(A17,LEN(A17)-FIND(";",A17)),LEN(RIGHT(A17,LEN(A17)-FIND(";",A17)))-FIND(";",RIGHT(A17,LEN(A17)-FIND(";",A17)))),LEN(RIGHT(RIGHT(A17,LEN(A17)-FIND(";",A17)),LEN(RIGHT(A17,LEN(A17)-FIND(";",A17)))-FIND(";",RIGHT(A17,LEN(A17)-FIND(";",A17)))))-FIND(";",RIGHT(RIGHT(A17,LEN(A17)-FIND(";",A17)),LEN(RIGHT(A17,LEN(A17)-FIND(";",A17)))-FIND(";",RIGHT(A17,LEN(A17)-FIND(";",A17)))))),FIND(";",RIGHT(RIGHT(RIGHT(A17,LEN(A17)-FIND(";",A17)),LEN(RIGHT(A17,LEN(A17)-FIND(";",A17)))-FIND(";",RIGHT(A17,LEN(A17)-FIND(";",A17)))),LEN(RIGHT(RIGHT(A17,LEN(A17)-FIND(";",A17)),LEN(RIGHT(A17,LEN(A17)-FIND(";",A17)))-FIND(";",RIGHT(A17,LEN(A17)-FIND(";",A17)))))-FIND(";",RIGHT(RIGHT(A17,LEN(A17)-FIND(";",A17)),LEN(RIGHT(A17,LEN(A17)-FIND(";",A17)))-FIND(";",RIGHT(A17,LEN(A17)-FIND(";",A17)))))))-1)</f>
        <v>R &amp; D</v>
      </c>
      <c r="F17" t="str">
        <f>RIGHT(RIGHT(RIGHT(RIGHT(A17,LEN(A17)-FIND(";",A17)),LEN(RIGHT(A17,LEN(A17)-FIND(";",A17)))-FIND(";",RIGHT(A17,LEN(A17)-FIND(";",A17)))),LEN(RIGHT(RIGHT(A17,LEN(A17)-FIND(";",A17)),LEN(RIGHT(A17,LEN(A17)-FIND(";",A17)))-FIND(";",RIGHT(A17,LEN(A17)-FIND(";",A17)))))-FIND(";",RIGHT(RIGHT(A17,LEN(A17)-FIND(";",A17)),LEN(RIGHT(A17,LEN(A17)-FIND(";",A17)))-FIND(";",RIGHT(A17,LEN(A17)-FIND(";",A17)))))),LEN(RIGHT(RIGHT(RIGHT(A17,LEN(A17)-FIND(";",A17)),LEN(RIGHT(A17,LEN(A17)-FIND(";",A17)))-FIND(";",RIGHT(A17,LEN(A17)-FIND(";",A17)))),LEN(RIGHT(RIGHT(A17,LEN(A17)-FIND(";",A17)),LEN(RIGHT(A17,LEN(A17)-FIND(";",A17)))-FIND(";",RIGHT(A17,LEN(A17)-FIND(";",A17)))))-FIND(";",RIGHT(RIGHT(A17,LEN(A17)-FIND(";",A17)),LEN(RIGHT(A17,LEN(A17)-FIND(";",A17)))-FIND(";",RIGHT(A17,LEN(A17)-FIND(";",A17)))))))-FIND(";",RIGHT(RIGHT(RIGHT(A17,LEN(A17)-FIND(";",A17)),LEN(RIGHT(A17,LEN(A17)-FIND(";",A17)))-FIND(";",RIGHT(A17,LEN(A17)-FIND(";",A17)))),LEN(RIGHT(RIGHT(A17,LEN(A17)-FIND(";",A17)),LEN(RIGHT(A17,LEN(A17)-FIND(";",A17)))-FIND(";",RIGHT(A17,LEN(A17)-FIND(";",A17)))))-FIND(";",RIGHT(RIGHT(A17,LEN(A17)-FIND(";",A17)),LEN(RIGHT(A17,LEN(A17)-FIND(";",A17)))-FIND(";",RIGHT(A17,LEN(A17)-FIND(";",A17))))))))</f>
        <v>TRAINEE</v>
      </c>
    </row>
    <row r="18" spans="1:6" x14ac:dyDescent="0.35">
      <c r="A18" t="s">
        <v>16</v>
      </c>
      <c r="B18" t="str">
        <f>PROPER(LEFT(A18,FIND(";",A18)-1))</f>
        <v xml:space="preserve">Doe, John  </v>
      </c>
      <c r="C18" s="1" t="str">
        <f>LEFT(RIGHT(A18,LEN(A18)-FIND(";",A18)),FIND(";",RIGHT(A18,LEN(A18)-FIND(";",A18)))-1)</f>
        <v xml:space="preserve"> 06/05/2014</v>
      </c>
      <c r="D18" s="2" t="str">
        <f>LEFT(RIGHT(RIGHT(A18,LEN(A18)-FIND(";",A18)),LEN(RIGHT(A18,LEN(A18)-FIND(";",A18)))-FIND(";",RIGHT(A18,LEN(A18)-FIND(";",A18)))),FIND(";",RIGHT(RIGHT(A18,LEN(A18)-FIND(";",A18)),LEN(RIGHT(A18,LEN(A18)-FIND(";",A18)))-FIND(";",RIGHT(A18,LEN(A18)-FIND(";",A18)))))-1)</f>
        <v>45600</v>
      </c>
      <c r="E18" t="str">
        <f>LEFT(RIGHT(RIGHT(RIGHT(A18,LEN(A18)-FIND(";",A18)),LEN(RIGHT(A18,LEN(A18)-FIND(";",A18)))-FIND(";",RIGHT(A18,LEN(A18)-FIND(";",A18)))),LEN(RIGHT(RIGHT(A18,LEN(A18)-FIND(";",A18)),LEN(RIGHT(A18,LEN(A18)-FIND(";",A18)))-FIND(";",RIGHT(A18,LEN(A18)-FIND(";",A18)))))-FIND(";",RIGHT(RIGHT(A18,LEN(A18)-FIND(";",A18)),LEN(RIGHT(A18,LEN(A18)-FIND(";",A18)))-FIND(";",RIGHT(A18,LEN(A18)-FIND(";",A18)))))),FIND(";",RIGHT(RIGHT(RIGHT(A18,LEN(A18)-FIND(";",A18)),LEN(RIGHT(A18,LEN(A18)-FIND(";",A18)))-FIND(";",RIGHT(A18,LEN(A18)-FIND(";",A18)))),LEN(RIGHT(RIGHT(A18,LEN(A18)-FIND(";",A18)),LEN(RIGHT(A18,LEN(A18)-FIND(";",A18)))-FIND(";",RIGHT(A18,LEN(A18)-FIND(";",A18)))))-FIND(";",RIGHT(RIGHT(A18,LEN(A18)-FIND(";",A18)),LEN(RIGHT(A18,LEN(A18)-FIND(";",A18)))-FIND(";",RIGHT(A18,LEN(A18)-FIND(";",A18)))))))-1)</f>
        <v>ENGINEERING</v>
      </c>
      <c r="F18" t="str">
        <f>RIGHT(RIGHT(RIGHT(RIGHT(A18,LEN(A18)-FIND(";",A18)),LEN(RIGHT(A18,LEN(A18)-FIND(";",A18)))-FIND(";",RIGHT(A18,LEN(A18)-FIND(";",A18)))),LEN(RIGHT(RIGHT(A18,LEN(A18)-FIND(";",A18)),LEN(RIGHT(A18,LEN(A18)-FIND(";",A18)))-FIND(";",RIGHT(A18,LEN(A18)-FIND(";",A18)))))-FIND(";",RIGHT(RIGHT(A18,LEN(A18)-FIND(";",A18)),LEN(RIGHT(A18,LEN(A18)-FIND(";",A18)))-FIND(";",RIGHT(A18,LEN(A18)-FIND(";",A18)))))),LEN(RIGHT(RIGHT(RIGHT(A18,LEN(A18)-FIND(";",A18)),LEN(RIGHT(A18,LEN(A18)-FIND(";",A18)))-FIND(";",RIGHT(A18,LEN(A18)-FIND(";",A18)))),LEN(RIGHT(RIGHT(A18,LEN(A18)-FIND(";",A18)),LEN(RIGHT(A18,LEN(A18)-FIND(";",A18)))-FIND(";",RIGHT(A18,LEN(A18)-FIND(";",A18)))))-FIND(";",RIGHT(RIGHT(A18,LEN(A18)-FIND(";",A18)),LEN(RIGHT(A18,LEN(A18)-FIND(";",A18)))-FIND(";",RIGHT(A18,LEN(A18)-FIND(";",A18)))))))-FIND(";",RIGHT(RIGHT(RIGHT(A18,LEN(A18)-FIND(";",A18)),LEN(RIGHT(A18,LEN(A18)-FIND(";",A18)))-FIND(";",RIGHT(A18,LEN(A18)-FIND(";",A18)))),LEN(RIGHT(RIGHT(A18,LEN(A18)-FIND(";",A18)),LEN(RIGHT(A18,LEN(A18)-FIND(";",A18)))-FIND(";",RIGHT(A18,LEN(A18)-FIND(";",A18)))))-FIND(";",RIGHT(RIGHT(A18,LEN(A18)-FIND(";",A18)),LEN(RIGHT(A18,LEN(A18)-FIND(";",A18)))-FIND(";",RIGHT(A18,LEN(A18)-FIND(";",A18))))))))</f>
        <v>INTERN</v>
      </c>
    </row>
    <row r="19" spans="1:6" x14ac:dyDescent="0.35">
      <c r="A19" t="s">
        <v>17</v>
      </c>
      <c r="B19" t="str">
        <f>PROPER(LEFT(A19,FIND(";",A19)-1))</f>
        <v>Darnstein, Danny</v>
      </c>
      <c r="C19" s="1" t="str">
        <f>LEFT(RIGHT(A19,LEN(A19)-FIND(";",A19)),FIND(";",RIGHT(A19,LEN(A19)-FIND(";",A19)))-1)</f>
        <v xml:space="preserve"> 12/14/2011</v>
      </c>
      <c r="D19" s="2" t="str">
        <f>LEFT(RIGHT(RIGHT(A19,LEN(A19)-FIND(";",A19)),LEN(RIGHT(A19,LEN(A19)-FIND(";",A19)))-FIND(";",RIGHT(A19,LEN(A19)-FIND(";",A19)))),FIND(";",RIGHT(RIGHT(A19,LEN(A19)-FIND(";",A19)),LEN(RIGHT(A19,LEN(A19)-FIND(";",A19)))-FIND(";",RIGHT(A19,LEN(A19)-FIND(";",A19)))))-1)</f>
        <v>52000</v>
      </c>
      <c r="E19" t="str">
        <f>LEFT(RIGHT(RIGHT(RIGHT(A19,LEN(A19)-FIND(";",A19)),LEN(RIGHT(A19,LEN(A19)-FIND(";",A19)))-FIND(";",RIGHT(A19,LEN(A19)-FIND(";",A19)))),LEN(RIGHT(RIGHT(A19,LEN(A19)-FIND(";",A19)),LEN(RIGHT(A19,LEN(A19)-FIND(";",A19)))-FIND(";",RIGHT(A19,LEN(A19)-FIND(";",A19)))))-FIND(";",RIGHT(RIGHT(A19,LEN(A19)-FIND(";",A19)),LEN(RIGHT(A19,LEN(A19)-FIND(";",A19)))-FIND(";",RIGHT(A19,LEN(A19)-FIND(";",A19)))))),FIND(";",RIGHT(RIGHT(RIGHT(A19,LEN(A19)-FIND(";",A19)),LEN(RIGHT(A19,LEN(A19)-FIND(";",A19)))-FIND(";",RIGHT(A19,LEN(A19)-FIND(";",A19)))),LEN(RIGHT(RIGHT(A19,LEN(A19)-FIND(";",A19)),LEN(RIGHT(A19,LEN(A19)-FIND(";",A19)))-FIND(";",RIGHT(A19,LEN(A19)-FIND(";",A19)))))-FIND(";",RIGHT(RIGHT(A19,LEN(A19)-FIND(";",A19)),LEN(RIGHT(A19,LEN(A19)-FIND(";",A19)))-FIND(";",RIGHT(A19,LEN(A19)-FIND(";",A19)))))))-1)</f>
        <v>ENGINEERING</v>
      </c>
      <c r="F19" t="str">
        <f>RIGHT(RIGHT(RIGHT(RIGHT(A19,LEN(A19)-FIND(";",A19)),LEN(RIGHT(A19,LEN(A19)-FIND(";",A19)))-FIND(";",RIGHT(A19,LEN(A19)-FIND(";",A19)))),LEN(RIGHT(RIGHT(A19,LEN(A19)-FIND(";",A19)),LEN(RIGHT(A19,LEN(A19)-FIND(";",A19)))-FIND(";",RIGHT(A19,LEN(A19)-FIND(";",A19)))))-FIND(";",RIGHT(RIGHT(A19,LEN(A19)-FIND(";",A19)),LEN(RIGHT(A19,LEN(A19)-FIND(";",A19)))-FIND(";",RIGHT(A19,LEN(A19)-FIND(";",A19)))))),LEN(RIGHT(RIGHT(RIGHT(A19,LEN(A19)-FIND(";",A19)),LEN(RIGHT(A19,LEN(A19)-FIND(";",A19)))-FIND(";",RIGHT(A19,LEN(A19)-FIND(";",A19)))),LEN(RIGHT(RIGHT(A19,LEN(A19)-FIND(";",A19)),LEN(RIGHT(A19,LEN(A19)-FIND(";",A19)))-FIND(";",RIGHT(A19,LEN(A19)-FIND(";",A19)))))-FIND(";",RIGHT(RIGHT(A19,LEN(A19)-FIND(";",A19)),LEN(RIGHT(A19,LEN(A19)-FIND(";",A19)))-FIND(";",RIGHT(A19,LEN(A19)-FIND(";",A19)))))))-FIND(";",RIGHT(RIGHT(RIGHT(A19,LEN(A19)-FIND(";",A19)),LEN(RIGHT(A19,LEN(A19)-FIND(";",A19)))-FIND(";",RIGHT(A19,LEN(A19)-FIND(";",A19)))),LEN(RIGHT(RIGHT(A19,LEN(A19)-FIND(";",A19)),LEN(RIGHT(A19,LEN(A19)-FIND(";",A19)))-FIND(";",RIGHT(A19,LEN(A19)-FIND(";",A19)))))-FIND(";",RIGHT(RIGHT(A19,LEN(A19)-FIND(";",A19)),LEN(RIGHT(A19,LEN(A19)-FIND(";",A19)))-FIND(";",RIGHT(A19,LEN(A19)-FIND(";",A19))))))))</f>
        <v>COST ACCOUNTANT</v>
      </c>
    </row>
    <row r="20" spans="1:6" x14ac:dyDescent="0.35">
      <c r="A20" t="s">
        <v>18</v>
      </c>
      <c r="B20" t="str">
        <f>PROPER(LEFT(A20,FIND(";",A20)-1))</f>
        <v xml:space="preserve">Fallengrano, Bill </v>
      </c>
      <c r="C20" s="1" t="str">
        <f>LEFT(RIGHT(A20,LEN(A20)-FIND(";",A20)),FIND(";",RIGHT(A20,LEN(A20)-FIND(";",A20)))-1)</f>
        <v xml:space="preserve"> 06/29/2001</v>
      </c>
      <c r="D20" s="2" t="str">
        <f>LEFT(RIGHT(RIGHT(A20,LEN(A20)-FIND(";",A20)),LEN(RIGHT(A20,LEN(A20)-FIND(";",A20)))-FIND(";",RIGHT(A20,LEN(A20)-FIND(";",A20)))),FIND(";",RIGHT(RIGHT(A20,LEN(A20)-FIND(";",A20)),LEN(RIGHT(A20,LEN(A20)-FIND(";",A20)))-FIND(";",RIGHT(A20,LEN(A20)-FIND(";",A20)))))-1)</f>
        <v>56750</v>
      </c>
      <c r="E20" t="str">
        <f>LEFT(RIGHT(RIGHT(RIGHT(A20,LEN(A20)-FIND(";",A20)),LEN(RIGHT(A20,LEN(A20)-FIND(";",A20)))-FIND(";",RIGHT(A20,LEN(A20)-FIND(";",A20)))),LEN(RIGHT(RIGHT(A20,LEN(A20)-FIND(";",A20)),LEN(RIGHT(A20,LEN(A20)-FIND(";",A20)))-FIND(";",RIGHT(A20,LEN(A20)-FIND(";",A20)))))-FIND(";",RIGHT(RIGHT(A20,LEN(A20)-FIND(";",A20)),LEN(RIGHT(A20,LEN(A20)-FIND(";",A20)))-FIND(";",RIGHT(A20,LEN(A20)-FIND(";",A20)))))),FIND(";",RIGHT(RIGHT(RIGHT(A20,LEN(A20)-FIND(";",A20)),LEN(RIGHT(A20,LEN(A20)-FIND(";",A20)))-FIND(";",RIGHT(A20,LEN(A20)-FIND(";",A20)))),LEN(RIGHT(RIGHT(A20,LEN(A20)-FIND(";",A20)),LEN(RIGHT(A20,LEN(A20)-FIND(";",A20)))-FIND(";",RIGHT(A20,LEN(A20)-FIND(";",A20)))))-FIND(";",RIGHT(RIGHT(A20,LEN(A20)-FIND(";",A20)),LEN(RIGHT(A20,LEN(A20)-FIND(";",A20)))-FIND(";",RIGHT(A20,LEN(A20)-FIND(";",A20)))))))-1)</f>
        <v>ENGINEERING</v>
      </c>
      <c r="F20" t="str">
        <f>RIGHT(RIGHT(RIGHT(RIGHT(A20,LEN(A20)-FIND(";",A20)),LEN(RIGHT(A20,LEN(A20)-FIND(";",A20)))-FIND(";",RIGHT(A20,LEN(A20)-FIND(";",A20)))),LEN(RIGHT(RIGHT(A20,LEN(A20)-FIND(";",A20)),LEN(RIGHT(A20,LEN(A20)-FIND(";",A20)))-FIND(";",RIGHT(A20,LEN(A20)-FIND(";",A20)))))-FIND(";",RIGHT(RIGHT(A20,LEN(A20)-FIND(";",A20)),LEN(RIGHT(A20,LEN(A20)-FIND(";",A20)))-FIND(";",RIGHT(A20,LEN(A20)-FIND(";",A20)))))),LEN(RIGHT(RIGHT(RIGHT(A20,LEN(A20)-FIND(";",A20)),LEN(RIGHT(A20,LEN(A20)-FIND(";",A20)))-FIND(";",RIGHT(A20,LEN(A20)-FIND(";",A20)))),LEN(RIGHT(RIGHT(A20,LEN(A20)-FIND(";",A20)),LEN(RIGHT(A20,LEN(A20)-FIND(";",A20)))-FIND(";",RIGHT(A20,LEN(A20)-FIND(";",A20)))))-FIND(";",RIGHT(RIGHT(A20,LEN(A20)-FIND(";",A20)),LEN(RIGHT(A20,LEN(A20)-FIND(";",A20)))-FIND(";",RIGHT(A20,LEN(A20)-FIND(";",A20)))))))-FIND(";",RIGHT(RIGHT(RIGHT(A20,LEN(A20)-FIND(";",A20)),LEN(RIGHT(A20,LEN(A20)-FIND(";",A20)))-FIND(";",RIGHT(A20,LEN(A20)-FIND(";",A20)))),LEN(RIGHT(RIGHT(A20,LEN(A20)-FIND(";",A20)),LEN(RIGHT(A20,LEN(A20)-FIND(";",A20)))-FIND(";",RIGHT(A20,LEN(A20)-FIND(";",A20)))))-FIND(";",RIGHT(RIGHT(A20,LEN(A20)-FIND(";",A20)),LEN(RIGHT(A20,LEN(A20)-FIND(";",A20)))-FIND(";",RIGHT(A20,LEN(A20)-FIND(";",A20))))))))</f>
        <v>SENIOR ADMINISTRATOR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Bello zulaykha</dc:creator>
  <cp:lastModifiedBy>Bello zulaykha</cp:lastModifiedBy>
  <dcterms:created xsi:type="dcterms:W3CDTF">2026-03-01T20:54:16Z</dcterms:created>
  <dcterms:modified xsi:type="dcterms:W3CDTF">2026-03-01T20:54:16Z</dcterms:modified>
</cp:coreProperties>
</file>